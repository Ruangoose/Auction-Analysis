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5\January\"/>
    </mc:Choice>
  </mc:AlternateContent>
  <xr:revisionPtr revIDLastSave="0" documentId="13_ncr:1_{9BC162FD-7D9B-4200-A38E-08676552A06E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9" i="6"/>
  <c r="E5" i="6"/>
  <c r="E4" i="6"/>
  <c r="E3" i="6"/>
  <c r="Q12" i="3"/>
  <c r="F12" i="3"/>
  <c r="G12" i="3"/>
  <c r="H12" i="3"/>
  <c r="I12" i="3"/>
  <c r="J12" i="3"/>
  <c r="K12" i="3"/>
  <c r="L12" i="3"/>
  <c r="M12" i="3"/>
  <c r="N12" i="3"/>
  <c r="O12" i="3"/>
  <c r="P12" i="3"/>
  <c r="Q3" i="2"/>
  <c r="Q4" i="2"/>
  <c r="Q5" i="2"/>
  <c r="Q6" i="2"/>
  <c r="Q7" i="2"/>
  <c r="Q8" i="2"/>
  <c r="Q9" i="2"/>
  <c r="Q10" i="2"/>
  <c r="Q11" i="2"/>
  <c r="Q12" i="2"/>
  <c r="K12" i="2"/>
  <c r="G12" i="2"/>
  <c r="G3" i="8"/>
  <c r="G4" i="8"/>
  <c r="G5" i="8"/>
  <c r="G6" i="8"/>
  <c r="G7" i="8"/>
  <c r="G8" i="8"/>
  <c r="G9" i="8"/>
  <c r="G10" i="8"/>
  <c r="G11" i="8"/>
  <c r="M6" i="4"/>
  <c r="D12" i="9"/>
  <c r="E12" i="9"/>
  <c r="F12" i="9"/>
  <c r="G12" i="9"/>
  <c r="C12" i="9"/>
  <c r="D12" i="8"/>
  <c r="E12" i="8"/>
  <c r="F12" i="8"/>
  <c r="C12" i="8"/>
  <c r="D13" i="7"/>
  <c r="E13" i="7"/>
  <c r="C13" i="7"/>
  <c r="E6" i="6"/>
  <c r="E7" i="6"/>
  <c r="E8" i="6"/>
  <c r="E11" i="6"/>
  <c r="D12" i="6"/>
  <c r="C12" i="6"/>
  <c r="C12" i="5"/>
  <c r="D12" i="5"/>
  <c r="E12" i="5"/>
  <c r="F12" i="5"/>
  <c r="G12" i="5"/>
  <c r="H12" i="5"/>
  <c r="I12" i="5"/>
  <c r="J12" i="5"/>
  <c r="K12" i="5"/>
  <c r="L12" i="5"/>
  <c r="M12" i="5"/>
  <c r="M4" i="4"/>
  <c r="M5" i="4"/>
  <c r="M3" i="4"/>
  <c r="M7" i="4"/>
  <c r="M8" i="4"/>
  <c r="M9" i="4"/>
  <c r="M10" i="4"/>
  <c r="M11" i="4"/>
  <c r="C12" i="4"/>
  <c r="D12" i="4"/>
  <c r="E12" i="4"/>
  <c r="F12" i="4"/>
  <c r="G12" i="4"/>
  <c r="H12" i="4"/>
  <c r="I12" i="4"/>
  <c r="J12" i="4"/>
  <c r="K12" i="4"/>
  <c r="L12" i="4"/>
  <c r="D12" i="3"/>
  <c r="E12" i="3"/>
  <c r="C12" i="3"/>
  <c r="D12" i="2"/>
  <c r="E12" i="2"/>
  <c r="F12" i="2"/>
  <c r="H12" i="2"/>
  <c r="I12" i="2"/>
  <c r="J12" i="2"/>
  <c r="L12" i="2"/>
  <c r="M12" i="2"/>
  <c r="N12" i="2"/>
  <c r="O12" i="2"/>
  <c r="P12" i="2"/>
  <c r="C12" i="2"/>
  <c r="A1" i="4"/>
  <c r="A1" i="5"/>
  <c r="A1" i="6"/>
  <c r="A1" i="7"/>
  <c r="A1" i="8"/>
  <c r="A1" i="9"/>
  <c r="A1" i="3"/>
  <c r="G12" i="8"/>
  <c r="M12" i="4"/>
  <c r="E12" i="6"/>
</calcChain>
</file>

<file path=xl/sharedStrings.xml><?xml version="1.0" encoding="utf-8"?>
<sst xmlns="http://schemas.openxmlformats.org/spreadsheetml/2006/main" count="342" uniqueCount="93">
  <si>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</si>
  <si>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</si>
  <si>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</si>
  <si>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</si>
  <si>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</si>
  <si>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</si>
  <si>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</si>
  <si>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</si>
  <si>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</si>
  <si>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</si>
  <si>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</si>
  <si>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</si>
  <si>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</si>
  <si>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</si>
  <si>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</si>
  <si>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</si>
  <si>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</si>
  <si>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</si>
  <si>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</si>
  <si>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</si>
  <si>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</si>
  <si>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</si>
  <si>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</si>
  <si>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</si>
  <si>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</si>
  <si>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</si>
  <si>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</si>
  <si>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</si>
  <si>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</si>
  <si>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</si>
  <si>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</si>
  <si>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</si>
  <si>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</si>
  <si>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</si>
  <si>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</si>
  <si>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</si>
  <si>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</si>
  <si>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</si>
  <si>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</si>
  <si>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</si>
  <si>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</si>
  <si>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</si>
  <si>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</si>
  <si>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</si>
  <si>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</si>
  <si>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</si>
  <si>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</si>
  <si>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</si>
  <si>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</si>
  <si>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</si>
  <si>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</si>
  <si>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</si>
  <si>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</si>
  <si>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</si>
  <si>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</si>
  <si>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</si>
  <si>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</si>
  <si>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</si>
  <si>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</si>
  <si>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</si>
  <si>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</si>
  <si>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</si>
  <si>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</si>
  <si>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</si>
  <si>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</si>
  <si>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</si>
  <si>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</si>
  <si>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</si>
  <si>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</si>
  <si>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</si>
  <si>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</si>
  <si>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</si>
  <si>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</si>
  <si>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</si>
  <si>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</si>
  <si>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</si>
  <si>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</si>
  <si>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</si>
  <si>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</si>
  <si>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</si>
  <si>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</si>
  <si>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</si>
  <si>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</si>
  <si>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</si>
  <si>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</si>
  <si>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</si>
  <si>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</si>
  <si>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</si>
  <si>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</si>
  <si>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</si>
  <si>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</si>
  <si>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2025</t>
  </si>
  <si>
    <t>31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</si>
</sst>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"/>
  <sheetViews>
    <sheetView workbookViewId="0">
      <pane ySplit="1" topLeftCell="A158" activePane="bottomLeft" state="frozen"/>
      <selection pane="bottomLeft" activeCell="F171" sqref="F171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91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topLeftCell="B1" zoomScale="59" workbookViewId="0">
      <selection activeCell="H27" sqref="H27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92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89</v>
      </c>
      <c r="H2" s="41" t="s">
        <v>45</v>
      </c>
      <c r="I2" s="41" t="s">
        <v>46</v>
      </c>
      <c r="J2" s="41" t="s">
        <v>47</v>
      </c>
      <c r="K2" s="41" t="s">
        <v>90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83561803633.949997</v>
      </c>
      <c r="D3" s="64">
        <v>86973083709.48999</v>
      </c>
      <c r="E3" s="64">
        <v>63678234736</v>
      </c>
      <c r="F3" s="64">
        <v>71628588308</v>
      </c>
      <c r="G3" s="64">
        <v>5804054571</v>
      </c>
      <c r="H3" s="64">
        <v>155241757446</v>
      </c>
      <c r="I3" s="64">
        <v>37256300509.32</v>
      </c>
      <c r="J3" s="64">
        <v>114828961165</v>
      </c>
      <c r="K3" s="64">
        <v>7236690123</v>
      </c>
      <c r="L3" s="64">
        <v>100045133163</v>
      </c>
      <c r="M3" s="64">
        <v>47549512845</v>
      </c>
      <c r="N3" s="64">
        <v>81440022110</v>
      </c>
      <c r="O3" s="64">
        <v>83865602547</v>
      </c>
      <c r="P3" s="64">
        <v>12764154931</v>
      </c>
      <c r="Q3" s="54">
        <f>SUM(C3:P3)</f>
        <v>951873899797.76001</v>
      </c>
      <c r="R3" s="51"/>
    </row>
    <row r="4" spans="1:18" x14ac:dyDescent="0.35">
      <c r="B4" s="18" t="s">
        <v>71</v>
      </c>
      <c r="C4" s="64">
        <v>132322685576.64999</v>
      </c>
      <c r="D4" s="64">
        <v>95623970487.529999</v>
      </c>
      <c r="E4" s="64">
        <v>66825429254</v>
      </c>
      <c r="F4" s="64">
        <v>73175669661.199997</v>
      </c>
      <c r="G4" s="64">
        <v>8084011301</v>
      </c>
      <c r="H4" s="64">
        <v>32952580638.799999</v>
      </c>
      <c r="I4" s="64">
        <v>13417225539</v>
      </c>
      <c r="J4" s="64">
        <v>29130718604.689999</v>
      </c>
      <c r="K4" s="64">
        <v>2504974245</v>
      </c>
      <c r="L4" s="64">
        <v>28974173121</v>
      </c>
      <c r="M4" s="64">
        <v>9893846202</v>
      </c>
      <c r="N4" s="64">
        <v>31470687781.099998</v>
      </c>
      <c r="O4" s="64">
        <v>124001224319.58</v>
      </c>
      <c r="P4" s="64">
        <v>7871207276</v>
      </c>
      <c r="Q4" s="54">
        <f t="shared" ref="Q4:Q11" si="0">SUM(C4:P4)</f>
        <v>656248404007.54993</v>
      </c>
    </row>
    <row r="5" spans="1:18" x14ac:dyDescent="0.35">
      <c r="B5" s="18" t="s">
        <v>54</v>
      </c>
      <c r="C5" s="64">
        <v>15539447947.9</v>
      </c>
      <c r="D5" s="64">
        <v>15576788860</v>
      </c>
      <c r="E5" s="64">
        <v>11116538537</v>
      </c>
      <c r="F5" s="64">
        <v>13232894674</v>
      </c>
      <c r="G5" s="64">
        <v>665493705</v>
      </c>
      <c r="H5" s="64">
        <v>13305804129</v>
      </c>
      <c r="I5" s="64">
        <v>9092269010</v>
      </c>
      <c r="J5" s="64">
        <v>21912511479.75</v>
      </c>
      <c r="K5" s="64">
        <v>3105814850</v>
      </c>
      <c r="L5" s="64">
        <v>29624528215</v>
      </c>
      <c r="M5" s="64">
        <v>12188642563</v>
      </c>
      <c r="N5" s="64">
        <v>31030869366</v>
      </c>
      <c r="O5" s="64">
        <v>34566790697</v>
      </c>
      <c r="P5" s="64">
        <v>13699666676</v>
      </c>
      <c r="Q5" s="54">
        <f t="shared" si="0"/>
        <v>224658060709.64999</v>
      </c>
    </row>
    <row r="6" spans="1:18" x14ac:dyDescent="0.35">
      <c r="B6" s="18" t="s">
        <v>55</v>
      </c>
      <c r="C6" s="64">
        <v>2367340588</v>
      </c>
      <c r="D6" s="64">
        <v>3879934057</v>
      </c>
      <c r="E6" s="64">
        <v>2438293859</v>
      </c>
      <c r="F6" s="64">
        <v>4102400306</v>
      </c>
      <c r="G6" s="64">
        <v>655636145</v>
      </c>
      <c r="H6" s="64">
        <v>2495534486</v>
      </c>
      <c r="I6" s="64">
        <v>461694796</v>
      </c>
      <c r="J6" s="64">
        <v>3296241089</v>
      </c>
      <c r="K6" s="64">
        <v>469537310</v>
      </c>
      <c r="L6" s="64">
        <v>2472157204</v>
      </c>
      <c r="M6" s="64">
        <v>667272576</v>
      </c>
      <c r="N6" s="64">
        <v>2316843887</v>
      </c>
      <c r="O6" s="64">
        <v>4191101926</v>
      </c>
      <c r="P6" s="64">
        <v>194594060</v>
      </c>
      <c r="Q6" s="54">
        <f t="shared" si="0"/>
        <v>30008582289</v>
      </c>
    </row>
    <row r="7" spans="1:18" x14ac:dyDescent="0.35">
      <c r="B7" s="18" t="s">
        <v>56</v>
      </c>
      <c r="C7" s="64">
        <v>3120269895.73</v>
      </c>
      <c r="D7" s="64">
        <v>6165369015</v>
      </c>
      <c r="E7" s="64">
        <v>4529795507</v>
      </c>
      <c r="F7" s="64">
        <v>11048494231</v>
      </c>
      <c r="G7" s="64">
        <v>434767132</v>
      </c>
      <c r="H7" s="64">
        <v>9015619703</v>
      </c>
      <c r="I7" s="64">
        <v>4148898643</v>
      </c>
      <c r="J7" s="64">
        <v>9878904594</v>
      </c>
      <c r="K7" s="64">
        <v>1564013071</v>
      </c>
      <c r="L7" s="64">
        <v>8457983988</v>
      </c>
      <c r="M7" s="64">
        <v>2313845083</v>
      </c>
      <c r="N7" s="64">
        <v>7073870077</v>
      </c>
      <c r="O7" s="64">
        <v>10472588224</v>
      </c>
      <c r="P7" s="64">
        <v>1126080026</v>
      </c>
      <c r="Q7" s="54">
        <f t="shared" si="0"/>
        <v>79350499189.729996</v>
      </c>
    </row>
    <row r="8" spans="1:18" x14ac:dyDescent="0.35">
      <c r="B8" s="18" t="s">
        <v>57</v>
      </c>
      <c r="C8" s="64">
        <v>15360742950.51</v>
      </c>
      <c r="D8" s="64">
        <v>51987282393</v>
      </c>
      <c r="E8" s="64">
        <v>19610973584</v>
      </c>
      <c r="F8" s="64">
        <v>50400387739</v>
      </c>
      <c r="G8" s="64">
        <v>10944649</v>
      </c>
      <c r="H8" s="64">
        <v>51108967071</v>
      </c>
      <c r="I8" s="64">
        <v>15337275551</v>
      </c>
      <c r="J8" s="64">
        <v>59102517760</v>
      </c>
      <c r="K8" s="64">
        <v>853783869</v>
      </c>
      <c r="L8" s="64">
        <v>42456204497</v>
      </c>
      <c r="M8" s="64">
        <v>9009207526</v>
      </c>
      <c r="N8" s="64">
        <v>51866963279</v>
      </c>
      <c r="O8" s="64">
        <v>69868252321</v>
      </c>
      <c r="P8" s="64">
        <v>6876194932</v>
      </c>
      <c r="Q8" s="54">
        <f t="shared" si="0"/>
        <v>443849698121.51001</v>
      </c>
    </row>
    <row r="9" spans="1:18" x14ac:dyDescent="0.35">
      <c r="B9" s="18" t="s">
        <v>5</v>
      </c>
      <c r="C9" s="64">
        <v>71858443977.699997</v>
      </c>
      <c r="D9" s="64">
        <v>86767686393.979996</v>
      </c>
      <c r="E9" s="64">
        <v>45100540609</v>
      </c>
      <c r="F9" s="64">
        <v>102693405544</v>
      </c>
      <c r="G9" s="64">
        <v>7546676116</v>
      </c>
      <c r="H9" s="64">
        <v>74176630040.199997</v>
      </c>
      <c r="I9" s="64">
        <v>20171896929.68</v>
      </c>
      <c r="J9" s="64">
        <v>80500965710.25</v>
      </c>
      <c r="K9" s="64">
        <v>10557553218</v>
      </c>
      <c r="L9" s="64">
        <v>64061056513</v>
      </c>
      <c r="M9" s="64">
        <v>10745301996</v>
      </c>
      <c r="N9" s="64">
        <v>64014118506</v>
      </c>
      <c r="O9" s="64">
        <v>96986020974.419998</v>
      </c>
      <c r="P9" s="64">
        <v>26019236124</v>
      </c>
      <c r="Q9" s="54">
        <f t="shared" si="0"/>
        <v>761199532652.2301</v>
      </c>
    </row>
    <row r="10" spans="1:18" x14ac:dyDescent="0.35">
      <c r="B10" s="18" t="s">
        <v>58</v>
      </c>
      <c r="C10" s="64">
        <v>2591376078.4499998</v>
      </c>
      <c r="D10" s="64">
        <v>4965356166</v>
      </c>
      <c r="E10" s="64">
        <v>1722142486</v>
      </c>
      <c r="F10" s="64">
        <v>3102656898.8000002</v>
      </c>
      <c r="G10" s="64">
        <v>38416381</v>
      </c>
      <c r="H10" s="64">
        <v>6786216016</v>
      </c>
      <c r="I10" s="64">
        <v>4372991167</v>
      </c>
      <c r="J10" s="64">
        <v>5199008000.3099995</v>
      </c>
      <c r="K10" s="64">
        <v>1081633314</v>
      </c>
      <c r="L10" s="64">
        <v>5240682251</v>
      </c>
      <c r="M10" s="64">
        <v>1014227705</v>
      </c>
      <c r="N10" s="64">
        <v>1882071864.9000001</v>
      </c>
      <c r="O10" s="64">
        <v>2050391499</v>
      </c>
      <c r="P10" s="64">
        <v>88537683</v>
      </c>
      <c r="Q10" s="54">
        <f t="shared" si="0"/>
        <v>40135707510.459999</v>
      </c>
    </row>
    <row r="11" spans="1:18" x14ac:dyDescent="0.35">
      <c r="A11" s="17"/>
      <c r="B11" s="19" t="s">
        <v>59</v>
      </c>
      <c r="C11" s="65">
        <v>222645590</v>
      </c>
      <c r="D11" s="65">
        <v>159188949</v>
      </c>
      <c r="E11" s="65">
        <v>212672</v>
      </c>
      <c r="F11" s="65">
        <v>11993589</v>
      </c>
      <c r="G11" s="65">
        <v>0</v>
      </c>
      <c r="H11" s="65">
        <v>754523081</v>
      </c>
      <c r="I11" s="65">
        <v>4000000</v>
      </c>
      <c r="J11" s="65">
        <v>158840508</v>
      </c>
      <c r="K11" s="65">
        <v>0</v>
      </c>
      <c r="L11" s="65">
        <v>44482150</v>
      </c>
      <c r="M11" s="65">
        <v>0</v>
      </c>
      <c r="N11" s="65">
        <v>6974000</v>
      </c>
      <c r="O11" s="65">
        <v>0</v>
      </c>
      <c r="P11" s="65">
        <v>0</v>
      </c>
      <c r="Q11" s="54">
        <f t="shared" si="0"/>
        <v>1362860539</v>
      </c>
    </row>
    <row r="12" spans="1:18" x14ac:dyDescent="0.35">
      <c r="B12" s="19"/>
      <c r="C12" s="20">
        <f>SUM(C3:C11)</f>
        <v>326944756238.89001</v>
      </c>
      <c r="D12" s="20">
        <f t="shared" ref="D12:P12" si="1">SUM(D3:D11)</f>
        <v>352098660031</v>
      </c>
      <c r="E12" s="20">
        <f t="shared" si="1"/>
        <v>215022161244</v>
      </c>
      <c r="F12" s="20">
        <f t="shared" si="1"/>
        <v>329396490951</v>
      </c>
      <c r="G12" s="20">
        <f t="shared" si="1"/>
        <v>23240000000</v>
      </c>
      <c r="H12" s="20">
        <f t="shared" si="1"/>
        <v>345837632611</v>
      </c>
      <c r="I12" s="20">
        <f t="shared" si="1"/>
        <v>104262552145</v>
      </c>
      <c r="J12" s="20">
        <f t="shared" si="1"/>
        <v>324008668911</v>
      </c>
      <c r="K12" s="20">
        <f t="shared" si="1"/>
        <v>27374000000</v>
      </c>
      <c r="L12" s="20">
        <f t="shared" si="1"/>
        <v>281376401102</v>
      </c>
      <c r="M12" s="20">
        <f t="shared" si="1"/>
        <v>93381856496</v>
      </c>
      <c r="N12" s="20">
        <f t="shared" si="1"/>
        <v>271102420871</v>
      </c>
      <c r="O12" s="20">
        <f t="shared" si="1"/>
        <v>426001972508</v>
      </c>
      <c r="P12" s="20">
        <f t="shared" si="1"/>
        <v>68639671708</v>
      </c>
      <c r="Q12" s="20">
        <f>SUM(Q3:Q11)</f>
        <v>3188687244816.8901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topLeftCell="B1" zoomScale="74" workbookViewId="0">
      <selection activeCell="H14" sqref="H14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31 January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89</v>
      </c>
      <c r="H2" s="45" t="s">
        <v>45</v>
      </c>
      <c r="I2" s="45" t="s">
        <v>46</v>
      </c>
      <c r="J2" s="45" t="s">
        <v>47</v>
      </c>
      <c r="K2" s="45" t="s">
        <v>90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0.25558386253148396</v>
      </c>
      <c r="D3" s="67">
        <v>0.24701339022941063</v>
      </c>
      <c r="E3" s="67">
        <v>0.29614731043345832</v>
      </c>
      <c r="F3" s="67">
        <v>0.21745401142920873</v>
      </c>
      <c r="G3" s="67">
        <v>0.24974417259036144</v>
      </c>
      <c r="H3" s="67">
        <v>0.44888624836446517</v>
      </c>
      <c r="I3" s="67">
        <v>0.35733156097605323</v>
      </c>
      <c r="J3" s="67">
        <v>0.35440089165188871</v>
      </c>
      <c r="K3" s="67">
        <v>0.26436363421494852</v>
      </c>
      <c r="L3" s="67">
        <v>0.35555623275860032</v>
      </c>
      <c r="M3" s="67">
        <v>0.50919434062693725</v>
      </c>
      <c r="N3" s="67">
        <v>0.30040315334827644</v>
      </c>
      <c r="O3" s="67">
        <v>0.19686670006070234</v>
      </c>
      <c r="P3" s="67">
        <v>0.18595885751464528</v>
      </c>
      <c r="Q3" s="67">
        <v>0.29851591790477439</v>
      </c>
    </row>
    <row r="4" spans="1:17" x14ac:dyDescent="0.35">
      <c r="B4" s="47" t="s">
        <v>71</v>
      </c>
      <c r="C4" s="67">
        <v>0.40472490551267704</v>
      </c>
      <c r="D4" s="67">
        <v>0.27158288668042907</v>
      </c>
      <c r="E4" s="67">
        <v>0.31078391579446885</v>
      </c>
      <c r="F4" s="67">
        <v>0.22215072616570583</v>
      </c>
      <c r="G4" s="67">
        <v>0.34784902327882961</v>
      </c>
      <c r="H4" s="67">
        <v>9.5283385992481734E-2</v>
      </c>
      <c r="I4" s="67">
        <v>0.12868690879866818</v>
      </c>
      <c r="J4" s="67">
        <v>8.9907219774702202E-2</v>
      </c>
      <c r="K4" s="67">
        <v>9.150925129685103E-2</v>
      </c>
      <c r="L4" s="67">
        <v>0.10297300344849017</v>
      </c>
      <c r="M4" s="67">
        <v>0.10595041235257302</v>
      </c>
      <c r="N4" s="67">
        <v>0.11608412672963496</v>
      </c>
      <c r="O4" s="67">
        <v>0.29108133840213934</v>
      </c>
      <c r="P4" s="67">
        <v>0.11467431414131611</v>
      </c>
      <c r="Q4" s="66">
        <v>0.20413961563726857</v>
      </c>
    </row>
    <row r="5" spans="1:17" x14ac:dyDescent="0.35">
      <c r="B5" s="47" t="s">
        <v>54</v>
      </c>
      <c r="C5" s="67">
        <v>4.7529277198578863E-2</v>
      </c>
      <c r="D5" s="67">
        <v>4.4239841351934046E-2</v>
      </c>
      <c r="E5" s="67">
        <v>5.1699501449924141E-2</v>
      </c>
      <c r="F5" s="67">
        <v>4.0173150101858505E-2</v>
      </c>
      <c r="G5" s="67">
        <v>2.8635701592082615E-2</v>
      </c>
      <c r="H5" s="67">
        <v>3.8474136052065906E-2</v>
      </c>
      <c r="I5" s="67">
        <v>8.7205509772628628E-2</v>
      </c>
      <c r="J5" s="67">
        <v>6.7629398785527609E-2</v>
      </c>
      <c r="K5" s="67">
        <v>0.11345856834952875</v>
      </c>
      <c r="L5" s="67">
        <v>0.10528433834172539</v>
      </c>
      <c r="M5" s="67">
        <v>0.13052474024782426</v>
      </c>
      <c r="N5" s="67">
        <v>0.11446179368780175</v>
      </c>
      <c r="O5" s="67">
        <v>8.1142325453319022E-2</v>
      </c>
      <c r="P5" s="67">
        <v>0.19958817306527551</v>
      </c>
      <c r="Q5" s="66">
        <v>6.7218271418500272E-2</v>
      </c>
    </row>
    <row r="6" spans="1:17" x14ac:dyDescent="0.35">
      <c r="B6" s="47" t="s">
        <v>55</v>
      </c>
      <c r="C6" s="67">
        <v>7.2407969322812625E-3</v>
      </c>
      <c r="D6" s="67">
        <v>1.1019451356782775E-2</v>
      </c>
      <c r="E6" s="67">
        <v>1.1339732820530555E-2</v>
      </c>
      <c r="F6" s="67">
        <v>1.2454292679791359E-2</v>
      </c>
      <c r="G6" s="67">
        <v>2.8211538080895007E-2</v>
      </c>
      <c r="H6" s="67">
        <v>7.2159136273263541E-3</v>
      </c>
      <c r="I6" s="67">
        <v>4.4281938865059801E-3</v>
      </c>
      <c r="J6" s="67">
        <v>1.0173311411940724E-2</v>
      </c>
      <c r="K6" s="67">
        <v>1.715267443559582E-2</v>
      </c>
      <c r="L6" s="67">
        <v>8.7859436481449414E-3</v>
      </c>
      <c r="M6" s="67">
        <v>7.1456340775210708E-3</v>
      </c>
      <c r="N6" s="67">
        <v>8.5460095839661847E-3</v>
      </c>
      <c r="O6" s="67">
        <v>9.8382218780015025E-3</v>
      </c>
      <c r="P6" s="67">
        <v>2.8350086059243189E-3</v>
      </c>
      <c r="Q6" s="66">
        <v>9.3615198025416065E-3</v>
      </c>
    </row>
    <row r="7" spans="1:17" x14ac:dyDescent="0.35">
      <c r="B7" s="47" t="s">
        <v>56</v>
      </c>
      <c r="C7" s="67">
        <v>9.5437221004092201E-3</v>
      </c>
      <c r="D7" s="67">
        <v>1.7510345010847753E-2</v>
      </c>
      <c r="E7" s="67">
        <v>2.106664485554928E-2</v>
      </c>
      <c r="F7" s="67">
        <v>3.3541626989109424E-2</v>
      </c>
      <c r="G7" s="67">
        <v>1.8707707917383822E-2</v>
      </c>
      <c r="H7" s="67">
        <v>2.6068937711995088E-2</v>
      </c>
      <c r="I7" s="67">
        <v>3.9792797678979162E-2</v>
      </c>
      <c r="J7" s="67">
        <v>3.0489630500329535E-2</v>
      </c>
      <c r="K7" s="67">
        <v>5.7134984693504788E-2</v>
      </c>
      <c r="L7" s="67">
        <v>3.0059322512032374E-2</v>
      </c>
      <c r="M7" s="67">
        <v>2.4778315294032661E-2</v>
      </c>
      <c r="N7" s="67">
        <v>2.6092980115312192E-2</v>
      </c>
      <c r="O7" s="67">
        <v>2.4583426603273138E-2</v>
      </c>
      <c r="P7" s="67">
        <v>1.6405673249581622E-2</v>
      </c>
      <c r="Q7" s="66">
        <v>2.453949994057688E-2</v>
      </c>
    </row>
    <row r="8" spans="1:17" x14ac:dyDescent="0.35">
      <c r="B8" s="47" t="s">
        <v>57</v>
      </c>
      <c r="C8" s="67">
        <v>4.698268639392493E-2</v>
      </c>
      <c r="D8" s="67">
        <v>0.14764975927037852</v>
      </c>
      <c r="E8" s="67">
        <v>9.1204429676186347E-2</v>
      </c>
      <c r="F8" s="67">
        <v>0.15300827156199853</v>
      </c>
      <c r="G8" s="67">
        <v>4.7094014629948364E-4</v>
      </c>
      <c r="H8" s="67">
        <v>0.14778312783700909</v>
      </c>
      <c r="I8" s="67">
        <v>0.14710243740888049</v>
      </c>
      <c r="J8" s="67">
        <v>0.18241029772025796</v>
      </c>
      <c r="K8" s="67">
        <v>3.1189591181413019E-2</v>
      </c>
      <c r="L8" s="67">
        <v>0.15088758094396645</v>
      </c>
      <c r="M8" s="67">
        <v>9.6477065931816292E-2</v>
      </c>
      <c r="N8" s="67">
        <v>0.19131870203283841</v>
      </c>
      <c r="O8" s="67">
        <v>0.16400922256219819</v>
      </c>
      <c r="P8" s="67">
        <v>0.10017814422615566</v>
      </c>
      <c r="Q8" s="66">
        <v>0.14006002305373402</v>
      </c>
    </row>
    <row r="9" spans="1:17" x14ac:dyDescent="0.35">
      <c r="B9" s="47" t="s">
        <v>5</v>
      </c>
      <c r="C9" s="67">
        <v>0.21978772439829225</v>
      </c>
      <c r="D9" s="67">
        <v>0.24643003863275328</v>
      </c>
      <c r="E9" s="67">
        <v>0.20974833639506305</v>
      </c>
      <c r="F9" s="67">
        <v>0.3117622936647384</v>
      </c>
      <c r="G9" s="67">
        <v>0.32472788795180724</v>
      </c>
      <c r="H9" s="67">
        <v>0.21448397469119349</v>
      </c>
      <c r="I9" s="67">
        <v>0.19347211932455424</v>
      </c>
      <c r="J9" s="67">
        <v>0.24845312312419124</v>
      </c>
      <c r="K9" s="67">
        <v>0.38567813319208005</v>
      </c>
      <c r="L9" s="67">
        <v>0.22767032438437376</v>
      </c>
      <c r="M9" s="67">
        <v>0.11506841263602714</v>
      </c>
      <c r="N9" s="67">
        <v>0.2361252190236256</v>
      </c>
      <c r="O9" s="67">
        <v>0.22766566174197392</v>
      </c>
      <c r="P9" s="67">
        <v>0.37906993836870934</v>
      </c>
      <c r="Q9" s="66">
        <v>0.24287543269786241</v>
      </c>
    </row>
    <row r="10" spans="1:17" x14ac:dyDescent="0.35">
      <c r="B10" s="47" t="s">
        <v>58</v>
      </c>
      <c r="C10" s="67">
        <v>7.9260365214622042E-3</v>
      </c>
      <c r="D10" s="67">
        <v>1.4102172855650267E-2</v>
      </c>
      <c r="E10" s="67">
        <v>8.0091395046753815E-3</v>
      </c>
      <c r="F10" s="67">
        <v>9.4192166098743951E-3</v>
      </c>
      <c r="G10" s="67">
        <v>1.6530284423407918E-3</v>
      </c>
      <c r="H10" s="67">
        <v>1.9622549358684661E-2</v>
      </c>
      <c r="I10" s="67">
        <v>4.1942107468445566E-2</v>
      </c>
      <c r="J10" s="67">
        <v>1.6045891666367988E-2</v>
      </c>
      <c r="K10" s="67">
        <v>3.9513162636078028E-2</v>
      </c>
      <c r="L10" s="67">
        <v>1.8625166255858937E-2</v>
      </c>
      <c r="M10" s="67">
        <v>1.0861078833268263E-2</v>
      </c>
      <c r="N10" s="67">
        <v>6.9422908834722487E-3</v>
      </c>
      <c r="O10" s="67">
        <v>4.8131032983925797E-3</v>
      </c>
      <c r="P10" s="67">
        <v>1.2898908283921887E-3</v>
      </c>
      <c r="Q10" s="66">
        <v>1.1963268683713991E-2</v>
      </c>
    </row>
    <row r="11" spans="1:17" x14ac:dyDescent="0.35">
      <c r="B11" s="47" t="s">
        <v>59</v>
      </c>
      <c r="C11" s="67">
        <v>6.8098841089018309E-4</v>
      </c>
      <c r="D11" s="67">
        <v>4.5211461181358784E-4</v>
      </c>
      <c r="E11" s="67">
        <v>9.8907014407071698E-7</v>
      </c>
      <c r="F11" s="67">
        <v>3.6410797714855223E-5</v>
      </c>
      <c r="G11" s="67">
        <v>0</v>
      </c>
      <c r="H11" s="67">
        <v>2.1817263647785014E-3</v>
      </c>
      <c r="I11" s="67">
        <v>3.8364685284483741E-5</v>
      </c>
      <c r="J11" s="67">
        <v>4.9023536479399243E-4</v>
      </c>
      <c r="K11" s="67">
        <v>0</v>
      </c>
      <c r="L11" s="67">
        <v>1.5808770680763329E-4</v>
      </c>
      <c r="M11" s="67">
        <v>0</v>
      </c>
      <c r="N11" s="67">
        <v>2.5724595072201411E-5</v>
      </c>
      <c r="O11" s="67">
        <v>0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f>SUM(C3:C11)</f>
        <v>0.99999999999999989</v>
      </c>
      <c r="D12" s="49">
        <f t="shared" ref="D12:P12" si="0">SUM(D3:D11)</f>
        <v>0.99999999999999989</v>
      </c>
      <c r="E12" s="49">
        <f t="shared" si="0"/>
        <v>1.0000000000000002</v>
      </c>
      <c r="F12" s="49">
        <f t="shared" si="0"/>
        <v>1</v>
      </c>
      <c r="G12" s="49">
        <f t="shared" si="0"/>
        <v>1</v>
      </c>
      <c r="H12" s="49">
        <f t="shared" si="0"/>
        <v>1</v>
      </c>
      <c r="I12" s="49">
        <f t="shared" si="0"/>
        <v>0.99999999999999989</v>
      </c>
      <c r="J12" s="49">
        <f t="shared" si="0"/>
        <v>0.99999999999999989</v>
      </c>
      <c r="K12" s="49">
        <f t="shared" si="0"/>
        <v>1</v>
      </c>
      <c r="L12" s="49">
        <f t="shared" si="0"/>
        <v>0.99999999999999989</v>
      </c>
      <c r="M12" s="49">
        <f t="shared" si="0"/>
        <v>0.99999999999999989</v>
      </c>
      <c r="N12" s="49">
        <f t="shared" si="0"/>
        <v>1</v>
      </c>
      <c r="O12" s="49">
        <f t="shared" si="0"/>
        <v>1.0000000000000002</v>
      </c>
      <c r="P12" s="49">
        <f t="shared" si="0"/>
        <v>1.0000000000000002</v>
      </c>
      <c r="Q12" s="49">
        <f>SUM(Q3:Q11)</f>
        <v>0.99919768636469042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9" workbookViewId="0">
      <selection activeCell="G23" sqref="G23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31 January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150000432</v>
      </c>
      <c r="D3" s="64">
        <v>1631321624</v>
      </c>
      <c r="E3" s="64">
        <v>197620000</v>
      </c>
      <c r="F3" s="64">
        <v>12175266503</v>
      </c>
      <c r="G3" s="64">
        <v>231366358</v>
      </c>
      <c r="H3" s="64">
        <v>4007430836</v>
      </c>
      <c r="I3" s="64">
        <v>34400000</v>
      </c>
      <c r="J3" s="64">
        <v>6402682010</v>
      </c>
      <c r="K3" s="64">
        <v>2920280456</v>
      </c>
      <c r="L3" s="64">
        <v>5374000</v>
      </c>
      <c r="M3" s="20">
        <f t="shared" ref="M3:M11" si="0">SUM(C3:L3)</f>
        <v>27755742219</v>
      </c>
    </row>
    <row r="4" spans="1:13" x14ac:dyDescent="0.35">
      <c r="B4" s="18" t="s">
        <v>71</v>
      </c>
      <c r="C4" s="64">
        <v>2299273076</v>
      </c>
      <c r="D4" s="64">
        <v>3954832854</v>
      </c>
      <c r="E4" s="64">
        <v>173207142</v>
      </c>
      <c r="F4" s="64">
        <v>3923508325</v>
      </c>
      <c r="G4" s="64">
        <v>5571420441.9700003</v>
      </c>
      <c r="H4" s="64">
        <v>7629997862.8900003</v>
      </c>
      <c r="I4" s="64">
        <v>160327893</v>
      </c>
      <c r="J4" s="64">
        <v>14610609097.99</v>
      </c>
      <c r="K4" s="64">
        <v>14898174017.790001</v>
      </c>
      <c r="L4" s="64">
        <v>157190830</v>
      </c>
      <c r="M4" s="20">
        <f t="shared" si="0"/>
        <v>53378541540.639999</v>
      </c>
    </row>
    <row r="5" spans="1:13" x14ac:dyDescent="0.35">
      <c r="B5" s="18" t="s">
        <v>54</v>
      </c>
      <c r="C5" s="64">
        <v>1695750449</v>
      </c>
      <c r="D5" s="64">
        <v>3144890682</v>
      </c>
      <c r="E5" s="64">
        <v>808162347</v>
      </c>
      <c r="F5" s="64">
        <v>2925222016</v>
      </c>
      <c r="G5" s="64">
        <v>1515003177.8499999</v>
      </c>
      <c r="H5" s="64">
        <v>5333907796</v>
      </c>
      <c r="I5" s="64">
        <v>273581537</v>
      </c>
      <c r="J5" s="64">
        <v>6838564003</v>
      </c>
      <c r="K5" s="64">
        <v>7234440618</v>
      </c>
      <c r="L5" s="64">
        <v>186415075</v>
      </c>
      <c r="M5" s="20">
        <f t="shared" si="0"/>
        <v>29955937700.849998</v>
      </c>
    </row>
    <row r="6" spans="1:13" x14ac:dyDescent="0.35">
      <c r="B6" s="18" t="s">
        <v>55</v>
      </c>
      <c r="C6" s="64">
        <v>170808876</v>
      </c>
      <c r="D6" s="64">
        <v>1786132954</v>
      </c>
      <c r="E6" s="64">
        <v>294973900</v>
      </c>
      <c r="F6" s="64">
        <v>1914377969</v>
      </c>
      <c r="G6" s="64">
        <v>403334684</v>
      </c>
      <c r="H6" s="64">
        <v>1419100315.5599999</v>
      </c>
      <c r="I6" s="64">
        <v>200813298</v>
      </c>
      <c r="J6" s="64">
        <v>1668163435</v>
      </c>
      <c r="K6" s="64">
        <v>2996285918.8099999</v>
      </c>
      <c r="L6" s="64">
        <v>328975300</v>
      </c>
      <c r="M6" s="20">
        <f t="shared" si="0"/>
        <v>11182966650.369999</v>
      </c>
    </row>
    <row r="7" spans="1:13" x14ac:dyDescent="0.35">
      <c r="B7" s="18" t="s">
        <v>56</v>
      </c>
      <c r="C7" s="64">
        <v>2508577450.75</v>
      </c>
      <c r="D7" s="64">
        <v>5895602963</v>
      </c>
      <c r="E7" s="64">
        <v>350442100</v>
      </c>
      <c r="F7" s="64">
        <v>7954605033</v>
      </c>
      <c r="G7" s="64">
        <v>3199285819.9300003</v>
      </c>
      <c r="H7" s="64">
        <v>11226555752</v>
      </c>
      <c r="I7" s="64">
        <v>1282721479</v>
      </c>
      <c r="J7" s="64">
        <v>16389616425</v>
      </c>
      <c r="K7" s="64">
        <v>18351148941.73</v>
      </c>
      <c r="L7" s="64">
        <v>975831731</v>
      </c>
      <c r="M7" s="20">
        <f t="shared" si="0"/>
        <v>68134387695.410004</v>
      </c>
    </row>
    <row r="8" spans="1:13" x14ac:dyDescent="0.35">
      <c r="B8" s="18" t="s">
        <v>57</v>
      </c>
      <c r="C8" s="64">
        <v>19540198590</v>
      </c>
      <c r="D8" s="64">
        <v>35014951620</v>
      </c>
      <c r="E8" s="64">
        <v>1462620000</v>
      </c>
      <c r="F8" s="64">
        <v>43788947765</v>
      </c>
      <c r="G8" s="64">
        <v>23078582306</v>
      </c>
      <c r="H8" s="64">
        <v>58065447393</v>
      </c>
      <c r="I8" s="64">
        <v>7817431000</v>
      </c>
      <c r="J8" s="64">
        <v>52259468206</v>
      </c>
      <c r="K8" s="64">
        <v>60632065065</v>
      </c>
      <c r="L8" s="64">
        <v>3245909982</v>
      </c>
      <c r="M8" s="20">
        <f t="shared" si="0"/>
        <v>304905621927</v>
      </c>
    </row>
    <row r="9" spans="1:13" x14ac:dyDescent="0.35">
      <c r="B9" s="18" t="s">
        <v>5</v>
      </c>
      <c r="C9" s="64">
        <v>5332897459.0200005</v>
      </c>
      <c r="D9" s="64">
        <v>29083839131</v>
      </c>
      <c r="E9" s="64">
        <v>4720092588</v>
      </c>
      <c r="F9" s="64">
        <v>14562076125</v>
      </c>
      <c r="G9" s="64">
        <v>3398436533.25</v>
      </c>
      <c r="H9" s="64">
        <v>7607204998.5500002</v>
      </c>
      <c r="I9" s="64">
        <v>1719871377</v>
      </c>
      <c r="J9" s="64">
        <v>8654389915.0100002</v>
      </c>
      <c r="K9" s="64">
        <v>10441868496.67</v>
      </c>
      <c r="L9" s="64">
        <v>809843830</v>
      </c>
      <c r="M9" s="20">
        <f t="shared" si="0"/>
        <v>86330520453.5</v>
      </c>
    </row>
    <row r="10" spans="1:13" x14ac:dyDescent="0.35">
      <c r="B10" s="18" t="s">
        <v>58</v>
      </c>
      <c r="C10" s="64">
        <v>210011229.22999999</v>
      </c>
      <c r="D10" s="64">
        <v>334701703</v>
      </c>
      <c r="E10" s="64">
        <v>17881923</v>
      </c>
      <c r="F10" s="64">
        <v>607339336</v>
      </c>
      <c r="G10" s="64">
        <v>539955678</v>
      </c>
      <c r="H10" s="64">
        <v>602108883</v>
      </c>
      <c r="I10" s="64">
        <v>33800832</v>
      </c>
      <c r="J10" s="64">
        <v>2202220122</v>
      </c>
      <c r="K10" s="64">
        <v>2275062389</v>
      </c>
      <c r="L10" s="64">
        <v>47386083</v>
      </c>
      <c r="M10" s="20">
        <f t="shared" si="0"/>
        <v>6870468178.2299995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3800000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f t="shared" si="0"/>
        <v>4100000</v>
      </c>
    </row>
    <row r="12" spans="1:13" x14ac:dyDescent="0.35">
      <c r="A12" s="17"/>
      <c r="B12" s="18"/>
      <c r="C12" s="33">
        <f t="shared" ref="C12:M12" si="1">SUM(C3:C11)</f>
        <v>31907817562</v>
      </c>
      <c r="D12" s="33">
        <f t="shared" si="1"/>
        <v>80846273531</v>
      </c>
      <c r="E12" s="33">
        <f t="shared" si="1"/>
        <v>8025000000</v>
      </c>
      <c r="F12" s="33">
        <f t="shared" si="1"/>
        <v>87851343072</v>
      </c>
      <c r="G12" s="33">
        <f t="shared" si="1"/>
        <v>37941184999</v>
      </c>
      <c r="H12" s="33">
        <f t="shared" si="1"/>
        <v>95891753837</v>
      </c>
      <c r="I12" s="33">
        <f t="shared" si="1"/>
        <v>11522947416</v>
      </c>
      <c r="J12" s="33">
        <f t="shared" si="1"/>
        <v>109025713213.99998</v>
      </c>
      <c r="K12" s="33">
        <f t="shared" si="1"/>
        <v>119749325903</v>
      </c>
      <c r="L12" s="33">
        <f t="shared" si="1"/>
        <v>5756926831</v>
      </c>
      <c r="M12" s="33">
        <f t="shared" si="1"/>
        <v>588518286365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 t="s">
        <v>88</v>
      </c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H15" sqref="H15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31 January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4.7010558371325317E-3</v>
      </c>
      <c r="D3" s="68">
        <v>2.0178068236805992E-2</v>
      </c>
      <c r="E3" s="68">
        <v>2.4625545171339563E-2</v>
      </c>
      <c r="F3" s="68">
        <v>0.13858941795598459</v>
      </c>
      <c r="G3" s="68">
        <v>6.0980266695965886E-3</v>
      </c>
      <c r="H3" s="68">
        <v>4.1791193461869144E-2</v>
      </c>
      <c r="I3" s="68">
        <v>2.9853473037839643E-3</v>
      </c>
      <c r="J3" s="68">
        <v>5.8726348319616699E-2</v>
      </c>
      <c r="K3" s="68">
        <v>2.4386612901399558E-2</v>
      </c>
      <c r="L3" s="68">
        <v>9.3348415878103416E-4</v>
      </c>
      <c r="M3" s="68">
        <v>4.7162072720686614E-2</v>
      </c>
    </row>
    <row r="4" spans="1:13" x14ac:dyDescent="0.35">
      <c r="B4" s="18" t="s">
        <v>71</v>
      </c>
      <c r="C4" s="68">
        <v>7.2059866568194089E-2</v>
      </c>
      <c r="D4" s="68">
        <v>4.8917936242089677E-2</v>
      </c>
      <c r="E4" s="68">
        <v>2.1583444485981308E-2</v>
      </c>
      <c r="F4" s="68">
        <v>4.4660766560898506E-2</v>
      </c>
      <c r="G4" s="68">
        <v>0.14684360654831535</v>
      </c>
      <c r="H4" s="68">
        <v>7.956886340675054E-2</v>
      </c>
      <c r="I4" s="68">
        <v>1.3913791950259127E-2</v>
      </c>
      <c r="J4" s="68">
        <v>0.13401067204496722</v>
      </c>
      <c r="K4" s="68">
        <v>0.12441133931608017</v>
      </c>
      <c r="L4" s="68">
        <v>2.7304642670383801E-2</v>
      </c>
      <c r="M4" s="68">
        <v>9.0699886099264798E-2</v>
      </c>
    </row>
    <row r="5" spans="1:13" x14ac:dyDescent="0.35">
      <c r="B5" s="18" t="s">
        <v>54</v>
      </c>
      <c r="C5" s="68">
        <v>5.3145297252154319E-2</v>
      </c>
      <c r="D5" s="68">
        <v>3.8899636861977456E-2</v>
      </c>
      <c r="E5" s="68">
        <v>0.10070558841121495</v>
      </c>
      <c r="F5" s="68">
        <v>3.3297408027132686E-2</v>
      </c>
      <c r="G5" s="68">
        <v>3.9930307339898059E-2</v>
      </c>
      <c r="H5" s="68">
        <v>5.5624259465175227E-2</v>
      </c>
      <c r="I5" s="68">
        <v>2.3742322786279735E-2</v>
      </c>
      <c r="J5" s="68">
        <v>6.2724322560284429E-2</v>
      </c>
      <c r="K5" s="68">
        <v>6.0413205364179511E-2</v>
      </c>
      <c r="L5" s="68">
        <v>3.2381004739575434E-2</v>
      </c>
      <c r="M5" s="68">
        <v>5.0900606480511763E-2</v>
      </c>
    </row>
    <row r="6" spans="1:13" x14ac:dyDescent="0.35">
      <c r="B6" s="18" t="s">
        <v>55</v>
      </c>
      <c r="C6" s="68">
        <v>5.3531983398144266E-3</v>
      </c>
      <c r="D6" s="68">
        <v>2.2092953403908201E-2</v>
      </c>
      <c r="E6" s="68">
        <v>3.6756872274143301E-2</v>
      </c>
      <c r="F6" s="68">
        <v>2.179110645389952E-2</v>
      </c>
      <c r="G6" s="68">
        <v>1.0630524165511185E-2</v>
      </c>
      <c r="H6" s="68">
        <v>1.4798981755743398E-2</v>
      </c>
      <c r="I6" s="68">
        <v>1.7427251097333306E-2</v>
      </c>
      <c r="J6" s="68">
        <v>1.530064225973613E-2</v>
      </c>
      <c r="K6" s="68">
        <v>2.5021317625095175E-2</v>
      </c>
      <c r="L6" s="68">
        <v>5.7144255895094594E-2</v>
      </c>
      <c r="M6" s="68">
        <v>1.90019017411369E-2</v>
      </c>
    </row>
    <row r="7" spans="1:13" x14ac:dyDescent="0.35">
      <c r="B7" s="18" t="s">
        <v>56</v>
      </c>
      <c r="C7" s="68">
        <v>7.8619524694084439E-2</v>
      </c>
      <c r="D7" s="68">
        <v>7.2923620415718579E-2</v>
      </c>
      <c r="E7" s="68">
        <v>4.3668797507788161E-2</v>
      </c>
      <c r="F7" s="68">
        <v>9.0546197187681851E-2</v>
      </c>
      <c r="G7" s="68">
        <v>8.4322242966694966E-2</v>
      </c>
      <c r="H7" s="68">
        <v>0.11707529899894493</v>
      </c>
      <c r="I7" s="68">
        <v>0.11131886944297759</v>
      </c>
      <c r="J7" s="68">
        <v>0.15032799091008753</v>
      </c>
      <c r="K7" s="68">
        <v>0.15324636529975039</v>
      </c>
      <c r="L7" s="68">
        <v>0.16950566850100027</v>
      </c>
      <c r="M7" s="68">
        <v>0.11577276233206617</v>
      </c>
    </row>
    <row r="8" spans="1:13" x14ac:dyDescent="0.35">
      <c r="B8" s="18" t="s">
        <v>57</v>
      </c>
      <c r="C8" s="68">
        <v>0.61239533390309409</v>
      </c>
      <c r="D8" s="68">
        <v>0.43310532558527554</v>
      </c>
      <c r="E8" s="68">
        <v>0.18225794392523365</v>
      </c>
      <c r="F8" s="68">
        <v>0.49844369173857767</v>
      </c>
      <c r="G8" s="68">
        <v>0.60827257521367017</v>
      </c>
      <c r="H8" s="68">
        <v>0.60553118562938768</v>
      </c>
      <c r="I8" s="68">
        <v>0.67842286506881344</v>
      </c>
      <c r="J8" s="68">
        <v>0.47933158761752881</v>
      </c>
      <c r="K8" s="68">
        <v>0.50632489667719316</v>
      </c>
      <c r="L8" s="68">
        <v>0.56382686063011389</v>
      </c>
      <c r="M8" s="68">
        <v>0.51809031085551871</v>
      </c>
    </row>
    <row r="9" spans="1:13" x14ac:dyDescent="0.35">
      <c r="B9" s="18" t="s">
        <v>5</v>
      </c>
      <c r="C9" s="68">
        <v>0.16713451017631215</v>
      </c>
      <c r="D9" s="68">
        <v>0.35974248237734768</v>
      </c>
      <c r="E9" s="68">
        <v>0.5881735312149533</v>
      </c>
      <c r="F9" s="68">
        <v>0.16575815025463428</v>
      </c>
      <c r="G9" s="68">
        <v>8.9571175316205093E-2</v>
      </c>
      <c r="H9" s="68">
        <v>7.9331169721652828E-2</v>
      </c>
      <c r="I9" s="68">
        <v>0.14925620285413269</v>
      </c>
      <c r="J9" s="68">
        <v>7.9379346943806009E-2</v>
      </c>
      <c r="K9" s="68">
        <v>8.7197722558606958E-2</v>
      </c>
      <c r="L9" s="68">
        <v>0.14067294127122457</v>
      </c>
      <c r="M9" s="68">
        <v>0.14669131351333689</v>
      </c>
    </row>
    <row r="10" spans="1:13" x14ac:dyDescent="0.35">
      <c r="B10" s="18" t="s">
        <v>58</v>
      </c>
      <c r="C10" s="68">
        <v>6.5818111446177005E-3</v>
      </c>
      <c r="D10" s="68">
        <v>4.1399768768768386E-3</v>
      </c>
      <c r="E10" s="68">
        <v>2.2282770093457944E-3</v>
      </c>
      <c r="F10" s="68">
        <v>6.9132618211908857E-3</v>
      </c>
      <c r="G10" s="68">
        <v>1.4231386763861787E-2</v>
      </c>
      <c r="H10" s="68">
        <v>6.2790475604762091E-3</v>
      </c>
      <c r="I10" s="68">
        <v>2.9333494964201962E-3</v>
      </c>
      <c r="J10" s="68">
        <v>2.0199089343973336E-2</v>
      </c>
      <c r="K10" s="68">
        <v>1.8998540257695134E-2</v>
      </c>
      <c r="L10" s="68">
        <v>8.2311421338264364E-3</v>
      </c>
      <c r="M10" s="68">
        <v>1.1674179609040939E-2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1.001550162468609E-4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6.9666484372537802E-6</v>
      </c>
    </row>
    <row r="12" spans="1:13" x14ac:dyDescent="0.35">
      <c r="B12" s="23"/>
      <c r="C12" s="21">
        <f t="shared" ref="C12:M12" si="0">SUM(C3:C11)</f>
        <v>1.0000000000000002</v>
      </c>
      <c r="D12" s="21">
        <f t="shared" si="0"/>
        <v>1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0.99999999999999989</v>
      </c>
      <c r="I12" s="21">
        <f t="shared" si="0"/>
        <v>1</v>
      </c>
      <c r="J12" s="21">
        <f t="shared" si="0"/>
        <v>1.0000000000000002</v>
      </c>
      <c r="K12" s="21">
        <f t="shared" si="0"/>
        <v>1</v>
      </c>
      <c r="L12" s="21">
        <f t="shared" si="0"/>
        <v>1</v>
      </c>
      <c r="M12" s="21">
        <f t="shared" si="0"/>
        <v>1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D16" sqref="D16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31 January 2025</v>
      </c>
    </row>
    <row r="2" spans="1:13" x14ac:dyDescent="0.35">
      <c r="A2" s="17"/>
      <c r="B2" s="18" t="s">
        <v>40</v>
      </c>
      <c r="C2" s="18" t="s">
        <v>75</v>
      </c>
      <c r="D2" s="53" t="s">
        <v>79</v>
      </c>
      <c r="E2" s="53" t="s">
        <v>52</v>
      </c>
      <c r="K2" s="15"/>
      <c r="L2" s="15"/>
    </row>
    <row r="3" spans="1:13" x14ac:dyDescent="0.35">
      <c r="B3" s="18" t="s">
        <v>53</v>
      </c>
      <c r="C3" s="64">
        <v>314814011</v>
      </c>
      <c r="D3" s="64">
        <v>493070000</v>
      </c>
      <c r="E3" s="54">
        <f>SUM(C3:D3)</f>
        <v>807884011</v>
      </c>
      <c r="K3" s="15"/>
      <c r="L3" s="15"/>
      <c r="M3" s="50"/>
    </row>
    <row r="4" spans="1:13" x14ac:dyDescent="0.35">
      <c r="B4" s="18" t="s">
        <v>71</v>
      </c>
      <c r="C4" s="64">
        <v>52212300000</v>
      </c>
      <c r="D4" s="64">
        <v>44175332227</v>
      </c>
      <c r="E4" s="54">
        <f t="shared" ref="E4:E11" si="0">SUM(C4:D4)</f>
        <v>96387632227</v>
      </c>
      <c r="K4" s="15"/>
      <c r="L4" s="15"/>
      <c r="M4" s="50"/>
    </row>
    <row r="5" spans="1:13" x14ac:dyDescent="0.35">
      <c r="B5" s="18" t="s">
        <v>54</v>
      </c>
      <c r="C5" s="64">
        <v>1422250000</v>
      </c>
      <c r="D5" s="64">
        <v>7350880000</v>
      </c>
      <c r="E5" s="54">
        <f t="shared" si="0"/>
        <v>8773130000</v>
      </c>
      <c r="K5" s="15"/>
      <c r="L5" s="15"/>
      <c r="M5" s="50"/>
    </row>
    <row r="6" spans="1:13" x14ac:dyDescent="0.35">
      <c r="B6" s="18" t="s">
        <v>55</v>
      </c>
      <c r="C6" s="64">
        <v>1360500000</v>
      </c>
      <c r="D6" s="64">
        <v>564500000</v>
      </c>
      <c r="E6" s="54">
        <f t="shared" si="0"/>
        <v>1925000000</v>
      </c>
      <c r="K6" s="15"/>
      <c r="L6" s="15"/>
      <c r="M6" s="50"/>
    </row>
    <row r="7" spans="1:13" x14ac:dyDescent="0.35">
      <c r="B7" s="18" t="s">
        <v>56</v>
      </c>
      <c r="C7" s="64">
        <v>65300000</v>
      </c>
      <c r="D7" s="64">
        <v>755520000</v>
      </c>
      <c r="E7" s="54">
        <f t="shared" si="0"/>
        <v>820820000</v>
      </c>
      <c r="K7" s="15"/>
      <c r="L7" s="15"/>
      <c r="M7" s="50"/>
    </row>
    <row r="8" spans="1:13" x14ac:dyDescent="0.35">
      <c r="B8" s="18" t="s">
        <v>57</v>
      </c>
      <c r="C8" s="64">
        <v>47250000</v>
      </c>
      <c r="D8" s="64">
        <v>210380000</v>
      </c>
      <c r="E8" s="54">
        <f t="shared" si="0"/>
        <v>257630000</v>
      </c>
      <c r="K8" s="15"/>
      <c r="L8" s="15"/>
      <c r="M8" s="50"/>
    </row>
    <row r="9" spans="1:13" x14ac:dyDescent="0.35">
      <c r="B9" s="18" t="s">
        <v>5</v>
      </c>
      <c r="C9" s="64">
        <v>15606487386</v>
      </c>
      <c r="D9" s="64">
        <v>46513317773</v>
      </c>
      <c r="E9" s="54">
        <f t="shared" si="0"/>
        <v>62119805159</v>
      </c>
      <c r="K9" s="15"/>
      <c r="L9" s="15"/>
      <c r="M9" s="50"/>
    </row>
    <row r="10" spans="1:13" x14ac:dyDescent="0.35">
      <c r="B10" s="18" t="s">
        <v>58</v>
      </c>
      <c r="C10" s="64">
        <v>46098603</v>
      </c>
      <c r="D10" s="64">
        <v>452000000</v>
      </c>
      <c r="E10" s="54">
        <f t="shared" si="0"/>
        <v>498098603</v>
      </c>
      <c r="K10" s="15"/>
      <c r="L10" s="15"/>
      <c r="M10" s="50"/>
    </row>
    <row r="11" spans="1:13" x14ac:dyDescent="0.35">
      <c r="B11" s="19" t="s">
        <v>59</v>
      </c>
      <c r="C11" s="65">
        <v>0</v>
      </c>
      <c r="D11" s="65">
        <v>0</v>
      </c>
      <c r="E11" s="54">
        <f t="shared" si="0"/>
        <v>0</v>
      </c>
      <c r="K11" s="15"/>
      <c r="L11" s="15"/>
      <c r="M11" s="50"/>
    </row>
    <row r="12" spans="1:13" x14ac:dyDescent="0.35">
      <c r="B12" s="19"/>
      <c r="C12" s="20">
        <f>SUM(C3:C11)</f>
        <v>71075000000</v>
      </c>
      <c r="D12" s="20">
        <f t="shared" ref="D12:E12" si="1">SUM(D3:D11)</f>
        <v>100515000000</v>
      </c>
      <c r="E12" s="20">
        <f t="shared" si="1"/>
        <v>171590000000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F17" sqref="F17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31 January 2025</v>
      </c>
    </row>
    <row r="3" spans="1:5" ht="13" x14ac:dyDescent="0.3">
      <c r="B3" s="18" t="s">
        <v>40</v>
      </c>
      <c r="C3" s="22" t="s">
        <v>75</v>
      </c>
      <c r="D3" s="43" t="s">
        <v>79</v>
      </c>
      <c r="E3" s="43" t="s">
        <v>70</v>
      </c>
    </row>
    <row r="4" spans="1:5" ht="13" x14ac:dyDescent="0.3">
      <c r="B4" s="18" t="s">
        <v>53</v>
      </c>
      <c r="C4" s="67">
        <v>4.4293212944073162E-3</v>
      </c>
      <c r="D4" s="70">
        <v>4.9054369994528182E-3</v>
      </c>
      <c r="E4" s="69">
        <v>4.7082231540299556E-3</v>
      </c>
    </row>
    <row r="5" spans="1:5" ht="13" x14ac:dyDescent="0.3">
      <c r="B5" s="18" t="s">
        <v>71</v>
      </c>
      <c r="C5" s="67">
        <v>0.73460851213506861</v>
      </c>
      <c r="D5" s="70">
        <v>0.43948994903248273</v>
      </c>
      <c r="E5" s="69">
        <v>0.56173222348038931</v>
      </c>
    </row>
    <row r="6" spans="1:5" ht="13" x14ac:dyDescent="0.3">
      <c r="B6" s="18" t="s">
        <v>54</v>
      </c>
      <c r="C6" s="67">
        <v>2.0010552233556102E-2</v>
      </c>
      <c r="D6" s="70">
        <v>7.3132169327961002E-2</v>
      </c>
      <c r="E6" s="69">
        <v>5.1128445713619672E-2</v>
      </c>
    </row>
    <row r="7" spans="1:5" ht="13" x14ac:dyDescent="0.3">
      <c r="B7" s="18" t="s">
        <v>55</v>
      </c>
      <c r="C7" s="67">
        <v>1.9141751670770313E-2</v>
      </c>
      <c r="D7" s="70">
        <v>5.6160772024076008E-3</v>
      </c>
      <c r="E7" s="69">
        <v>1.121860248266216E-2</v>
      </c>
    </row>
    <row r="8" spans="1:5" ht="13" x14ac:dyDescent="0.3">
      <c r="B8" s="18" t="s">
        <v>56</v>
      </c>
      <c r="C8" s="67">
        <v>9.1874780161800909E-4</v>
      </c>
      <c r="D8" s="70">
        <v>7.5164900761080433E-3</v>
      </c>
      <c r="E8" s="69">
        <v>4.7836120986071446E-3</v>
      </c>
    </row>
    <row r="9" spans="1:5" ht="13" x14ac:dyDescent="0.3">
      <c r="B9" s="18" t="s">
        <v>57</v>
      </c>
      <c r="C9" s="67">
        <v>6.6479071403447061E-4</v>
      </c>
      <c r="D9" s="70">
        <v>2.0930209421479379E-3</v>
      </c>
      <c r="E9" s="69">
        <v>1.501427822134157E-3</v>
      </c>
    </row>
    <row r="10" spans="1:5" ht="13" x14ac:dyDescent="0.3">
      <c r="B10" s="18" t="s">
        <v>5</v>
      </c>
      <c r="C10" s="67">
        <v>0.21957773318325713</v>
      </c>
      <c r="D10" s="70">
        <v>0.46275001515196734</v>
      </c>
      <c r="E10" s="69">
        <v>0.36202462357363485</v>
      </c>
    </row>
    <row r="11" spans="1:5" ht="13" x14ac:dyDescent="0.3">
      <c r="B11" s="18" t="s">
        <v>58</v>
      </c>
      <c r="C11" s="67">
        <v>6.4859096728807602E-4</v>
      </c>
      <c r="D11" s="70">
        <v>4.4968412674725169E-3</v>
      </c>
      <c r="E11" s="69">
        <v>2.902841674922781E-3</v>
      </c>
    </row>
    <row r="12" spans="1:5" ht="13" x14ac:dyDescent="0.3">
      <c r="B12" s="18" t="s">
        <v>59</v>
      </c>
      <c r="C12" s="67">
        <v>0</v>
      </c>
      <c r="D12" s="70">
        <v>0</v>
      </c>
      <c r="E12" s="69">
        <v>0</v>
      </c>
    </row>
    <row r="13" spans="1:5" ht="13" x14ac:dyDescent="0.3">
      <c r="B13" s="23"/>
      <c r="C13" s="21">
        <f>SUM(C4:C12)</f>
        <v>1</v>
      </c>
      <c r="D13" s="21">
        <f t="shared" ref="D13:E13" si="0">SUM(D4:D12)</f>
        <v>1</v>
      </c>
      <c r="E13" s="21">
        <f t="shared" si="0"/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F15" sqref="F15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31 January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f t="shared" ref="G3:G11" si="0">SUM(C3:F3)</f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f t="shared" si="0"/>
        <v>15601785000</v>
      </c>
    </row>
    <row r="5" spans="1:7" x14ac:dyDescent="0.35">
      <c r="B5" s="18" t="s">
        <v>54</v>
      </c>
      <c r="C5" s="64">
        <v>28500000</v>
      </c>
      <c r="D5" s="64">
        <v>30495000</v>
      </c>
      <c r="E5" s="64">
        <v>30700000</v>
      </c>
      <c r="F5" s="64">
        <v>0</v>
      </c>
      <c r="G5" s="53">
        <f t="shared" si="0"/>
        <v>89695000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f t="shared" si="0"/>
        <v>0</v>
      </c>
    </row>
    <row r="7" spans="1:7" x14ac:dyDescent="0.35">
      <c r="B7" s="18" t="s">
        <v>56</v>
      </c>
      <c r="C7" s="64">
        <v>0</v>
      </c>
      <c r="D7" s="64">
        <v>8500000</v>
      </c>
      <c r="E7" s="64">
        <v>8500000</v>
      </c>
      <c r="F7" s="64">
        <v>0</v>
      </c>
      <c r="G7" s="53">
        <f t="shared" si="0"/>
        <v>17000000</v>
      </c>
    </row>
    <row r="8" spans="1:7" x14ac:dyDescent="0.35">
      <c r="B8" s="18" t="s">
        <v>57</v>
      </c>
      <c r="C8" s="64">
        <v>35000000</v>
      </c>
      <c r="D8" s="64">
        <v>40000000</v>
      </c>
      <c r="E8" s="64">
        <v>97000000</v>
      </c>
      <c r="F8" s="64">
        <v>138000000</v>
      </c>
      <c r="G8" s="53">
        <f t="shared" si="0"/>
        <v>310000000</v>
      </c>
    </row>
    <row r="9" spans="1:7" x14ac:dyDescent="0.35">
      <c r="B9" s="18" t="s">
        <v>5</v>
      </c>
      <c r="C9" s="64">
        <v>1562715000</v>
      </c>
      <c r="D9" s="64">
        <v>877964077</v>
      </c>
      <c r="E9" s="64">
        <v>1097710000</v>
      </c>
      <c r="F9" s="64">
        <v>783000000</v>
      </c>
      <c r="G9" s="53">
        <f t="shared" si="0"/>
        <v>4321389077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f t="shared" si="0"/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F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D10" sqref="D10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31 January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3.439544326641101E-3</v>
      </c>
      <c r="E5" s="67">
        <v>1.2384025816861637E-2</v>
      </c>
      <c r="F5" s="67">
        <v>0</v>
      </c>
      <c r="G5" s="69">
        <v>4.3998332188756994E-3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9.5871870065418452E-4</v>
      </c>
      <c r="E7" s="67">
        <v>3.4288019362646227E-3</v>
      </c>
      <c r="F7" s="67">
        <v>0</v>
      </c>
      <c r="G7" s="69">
        <v>8.339056215049544E-4</v>
      </c>
    </row>
    <row r="8" spans="1:7" x14ac:dyDescent="0.35">
      <c r="B8" s="18" t="s">
        <v>57</v>
      </c>
      <c r="C8" s="67">
        <v>4.6728971962616819E-3</v>
      </c>
      <c r="D8" s="67">
        <v>4.5116174148432213E-3</v>
      </c>
      <c r="E8" s="67">
        <v>3.9128680919725697E-2</v>
      </c>
      <c r="F8" s="67">
        <v>8.8974854932301742E-2</v>
      </c>
      <c r="G8" s="69">
        <v>1.5206514274502109E-2</v>
      </c>
    </row>
    <row r="9" spans="1:7" x14ac:dyDescent="0.35">
      <c r="B9" s="18" t="s">
        <v>5</v>
      </c>
      <c r="C9" s="67">
        <v>0.20864018691588784</v>
      </c>
      <c r="D9" s="67">
        <v>9.9025950484998876E-2</v>
      </c>
      <c r="E9" s="67">
        <v>0.4428035498184752</v>
      </c>
      <c r="F9" s="67">
        <v>0.50483558994197297</v>
      </c>
      <c r="G9" s="69">
        <v>0.21197827317767096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0.99999999999999989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2025-03-18T09:44:21Z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