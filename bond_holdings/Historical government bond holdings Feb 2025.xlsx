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5\February\"/>
    </mc:Choice>
  </mc:AlternateContent>
  <xr:revisionPtr revIDLastSave="0" documentId="13_ncr:1_{5C697551-B1C5-4469-9C7D-E2E2D39D2636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9" i="6"/>
  <c r="E5" i="6"/>
  <c r="E4" i="6"/>
  <c r="E3" i="6"/>
  <c r="Q12" i="3"/>
  <c r="F12" i="3"/>
  <c r="G12" i="3"/>
  <c r="H12" i="3"/>
  <c r="I12" i="3"/>
  <c r="J12" i="3"/>
  <c r="K12" i="3"/>
  <c r="L12" i="3"/>
  <c r="M12" i="3"/>
  <c r="N12" i="3"/>
  <c r="O12" i="3"/>
  <c r="P12" i="3"/>
  <c r="Q3" i="2"/>
  <c r="Q4" i="2"/>
  <c r="Q5" i="2"/>
  <c r="Q6" i="2"/>
  <c r="Q7" i="2"/>
  <c r="Q12" i="2" s="1"/>
  <c r="Q8" i="2"/>
  <c r="Q9" i="2"/>
  <c r="Q10" i="2"/>
  <c r="Q11" i="2"/>
  <c r="K12" i="2"/>
  <c r="G12" i="2"/>
  <c r="G3" i="8"/>
  <c r="G12" i="8" s="1"/>
  <c r="G4" i="8"/>
  <c r="G5" i="8"/>
  <c r="G6" i="8"/>
  <c r="G7" i="8"/>
  <c r="G8" i="8"/>
  <c r="G9" i="8"/>
  <c r="G10" i="8"/>
  <c r="G11" i="8"/>
  <c r="M6" i="4"/>
  <c r="D12" i="9"/>
  <c r="E12" i="9"/>
  <c r="F12" i="9"/>
  <c r="G12" i="9"/>
  <c r="C12" i="9"/>
  <c r="D12" i="8"/>
  <c r="E12" i="8"/>
  <c r="F12" i="8"/>
  <c r="C12" i="8"/>
  <c r="D13" i="7"/>
  <c r="E13" i="7"/>
  <c r="C13" i="7"/>
  <c r="E6" i="6"/>
  <c r="E7" i="6"/>
  <c r="E8" i="6"/>
  <c r="E11" i="6"/>
  <c r="D12" i="6"/>
  <c r="C12" i="6"/>
  <c r="C12" i="5"/>
  <c r="D12" i="5"/>
  <c r="E12" i="5"/>
  <c r="F12" i="5"/>
  <c r="G12" i="5"/>
  <c r="H12" i="5"/>
  <c r="I12" i="5"/>
  <c r="J12" i="5"/>
  <c r="K12" i="5"/>
  <c r="L12" i="5"/>
  <c r="M12" i="5"/>
  <c r="M4" i="4"/>
  <c r="M5" i="4"/>
  <c r="M3" i="4"/>
  <c r="M12" i="4" s="1"/>
  <c r="M7" i="4"/>
  <c r="M8" i="4"/>
  <c r="M9" i="4"/>
  <c r="M10" i="4"/>
  <c r="M11" i="4"/>
  <c r="C12" i="4"/>
  <c r="D12" i="4"/>
  <c r="E12" i="4"/>
  <c r="F12" i="4"/>
  <c r="G12" i="4"/>
  <c r="H12" i="4"/>
  <c r="I12" i="4"/>
  <c r="J12" i="4"/>
  <c r="K12" i="4"/>
  <c r="L12" i="4"/>
  <c r="D12" i="3"/>
  <c r="E12" i="3"/>
  <c r="C12" i="3"/>
  <c r="D12" i="2"/>
  <c r="E12" i="2"/>
  <c r="F12" i="2"/>
  <c r="H12" i="2"/>
  <c r="I12" i="2"/>
  <c r="J12" i="2"/>
  <c r="L12" i="2"/>
  <c r="M12" i="2"/>
  <c r="N12" i="2"/>
  <c r="O12" i="2"/>
  <c r="P12" i="2"/>
  <c r="C12" i="2"/>
  <c r="A1" i="4"/>
  <c r="A1" i="5"/>
  <c r="A1" i="6"/>
  <c r="A1" i="7"/>
  <c r="A1" i="8" s="1"/>
  <c r="A1" i="9" s="1"/>
  <c r="A1" i="3"/>
  <c r="E12" i="6"/>
</calcChain>
</file>

<file path=xl/sharedStrings.xml><?xml version="1.0" encoding="utf-8"?>
<sst xmlns="http://schemas.openxmlformats.org/spreadsheetml/2006/main" count="343" uniqueCount="93">
  <si>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</si>
  <si>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</si>
  <si>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</si>
  <si>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</si>
  <si>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</si>
  <si>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</si>
  <si>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</si>
  <si>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</si>
  <si>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</si>
  <si>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</si>
  <si>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</si>
  <si>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</si>
  <si>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</si>
  <si>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</si>
  <si>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</si>
  <si>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</si>
  <si>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</si>
  <si>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</si>
  <si>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</si>
  <si>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</si>
  <si>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</si>
  <si>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</si>
  <si>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</si>
  <si>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</si>
  <si>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</si>
  <si>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</si>
  <si>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</si>
  <si>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</si>
  <si>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</si>
  <si>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</si>
  <si>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</si>
  <si>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</si>
  <si>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</si>
  <si>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</si>
  <si>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</si>
  <si>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</si>
  <si>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</si>
  <si>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</si>
  <si>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</si>
  <si>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</si>
  <si>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</si>
  <si>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</si>
  <si>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</si>
  <si>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</si>
  <si>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</si>
  <si>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</si>
  <si>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</si>
  <si>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</si>
  <si>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</si>
  <si>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</si>
  <si>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</si>
  <si>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</si>
  <si>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</si>
  <si>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</si>
  <si>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</si>
  <si>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</si>
  <si>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</si>
  <si>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</si>
  <si>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</si>
  <si>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</si>
  <si>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</si>
  <si>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</si>
  <si>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</si>
  <si>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</si>
  <si>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</si>
  <si>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</si>
  <si>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</si>
  <si>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</si>
  <si>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</si>
  <si>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</si>
  <si>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</si>
  <si>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</si>
  <si>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</si>
  <si>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</si>
  <si>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</si>
  <si>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</si>
  <si>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</si>
  <si>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</si>
  <si>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</si>
  <si>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</si>
  <si>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</si>
  <si>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</si>
  <si>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</si>
  <si>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</si>
  <si>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</si>
  <si>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</si>
  <si>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</si>
  <si>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</si>
  <si>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</si>
  <si>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</si>
  <si>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</si>
  <si>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2025</t>
  </si>
  <si>
    <t>28 February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</si>
</sst>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9" fontId="2" fillId="0" borderId="10" xfId="67" applyBorder="1"/>
    <xf numFmtId="9" fontId="2" fillId="0" borderId="22" xfId="67" applyBorder="1"/>
    <xf numFmtId="9" fontId="2" fillId="0" borderId="23" xfId="67" applyBorder="1"/>
    <xf numFmtId="0" fontId="2" fillId="24" borderId="20" xfId="0" applyFont="1" applyFill="1" applyBorder="1" applyAlignment="1">
      <alignment horizontal="center"/>
    </xf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3"/>
  <sheetViews>
    <sheetView workbookViewId="0">
      <pane ySplit="1" topLeftCell="A160" activePane="bottomLeft" state="frozen"/>
      <selection pane="bottomLeft" activeCell="D170" sqref="D170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67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68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69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72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73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74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76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83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1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1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1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1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1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1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1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1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1:8" x14ac:dyDescent="0.35">
      <c r="B169" s="5" t="s">
        <v>30</v>
      </c>
      <c r="C169" s="6">
        <v>0.24999274325944326</v>
      </c>
      <c r="D169" s="6">
        <v>0.19572173663282363</v>
      </c>
      <c r="E169" s="6">
        <v>7.7960125944097264E-2</v>
      </c>
      <c r="F169" s="6">
        <v>0.23100581321685312</v>
      </c>
      <c r="G169" s="6">
        <v>0.22939973019979987</v>
      </c>
      <c r="H169" s="6">
        <v>1.5919850746982839E-2</v>
      </c>
    </row>
    <row r="170" spans="1:8" x14ac:dyDescent="0.35">
      <c r="B170" s="5" t="s">
        <v>35</v>
      </c>
      <c r="C170" s="6">
        <v>0.24163239907462344</v>
      </c>
      <c r="D170" s="6">
        <v>0.20128716229079655</v>
      </c>
      <c r="E170" s="6">
        <v>7.6591300295050846E-2</v>
      </c>
      <c r="F170" s="6">
        <v>0.22550706515491151</v>
      </c>
      <c r="G170" s="6">
        <v>0.24092997176822153</v>
      </c>
      <c r="H170" s="6">
        <v>1.4052101416396073E-2</v>
      </c>
    </row>
    <row r="171" spans="1:8" x14ac:dyDescent="0.35">
      <c r="B171" s="5" t="s">
        <v>31</v>
      </c>
      <c r="C171" s="6">
        <v>0.24604818462186465</v>
      </c>
      <c r="D171" s="6">
        <v>0.20823918885408249</v>
      </c>
      <c r="E171" s="6">
        <v>7.5166746315316599E-2</v>
      </c>
      <c r="F171" s="6">
        <v>0.22557576029681733</v>
      </c>
      <c r="G171" s="6">
        <v>0.23270506798505966</v>
      </c>
      <c r="H171" s="6">
        <v>1.226505192685926E-2</v>
      </c>
    </row>
    <row r="172" spans="1:8" x14ac:dyDescent="0.35">
      <c r="A172" s="55" t="s">
        <v>91</v>
      </c>
      <c r="B172" s="14" t="s">
        <v>39</v>
      </c>
      <c r="C172" s="9">
        <v>0.2470125184059844</v>
      </c>
      <c r="D172" s="9">
        <v>0.20699893827494958</v>
      </c>
      <c r="E172" s="9">
        <v>7.7243474489960329E-2</v>
      </c>
      <c r="F172" s="9">
        <v>0.22615384302323935</v>
      </c>
      <c r="G172" s="9">
        <v>0.23026693038894089</v>
      </c>
      <c r="H172" s="9">
        <v>1.2324295416925424E-2</v>
      </c>
    </row>
    <row r="173" spans="1:8" x14ac:dyDescent="0.35">
      <c r="B173" s="5" t="s">
        <v>33</v>
      </c>
      <c r="C173" s="6">
        <v>0.24882917300870791</v>
      </c>
      <c r="D173" s="6">
        <v>0.21349703181359758</v>
      </c>
      <c r="E173" s="6">
        <v>7.7325684259202845E-2</v>
      </c>
      <c r="F173" s="6">
        <v>0.22795156463244262</v>
      </c>
      <c r="G173" s="6">
        <v>0.21995464735706677</v>
      </c>
      <c r="H173" s="6">
        <v>1.244189892898223E-2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 A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59" workbookViewId="0">
      <selection activeCell="G13" sqref="G13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453125" style="15" bestFit="1" customWidth="1"/>
    <col min="7" max="7" width="15.36328125" style="15" bestFit="1" customWidth="1"/>
    <col min="8" max="8" width="16.1796875" style="15" customWidth="1"/>
    <col min="9" max="10" width="16.453125" style="15" bestFit="1" customWidth="1"/>
    <col min="11" max="11" width="15.36328125" style="15" bestFit="1" customWidth="1"/>
    <col min="12" max="12" width="16.453125" style="15" bestFit="1" customWidth="1"/>
    <col min="13" max="13" width="15.36328125" style="15" bestFit="1" customWidth="1"/>
    <col min="14" max="14" width="16.453125" style="15" bestFit="1" customWidth="1"/>
    <col min="15" max="15" width="20.54296875" style="15" bestFit="1" customWidth="1"/>
    <col min="16" max="16" width="15.36328125" bestFit="1" customWidth="1"/>
    <col min="17" max="17" width="18" bestFit="1" customWidth="1"/>
    <col min="18" max="18" width="20.54296875" bestFit="1" customWidth="1"/>
  </cols>
  <sheetData>
    <row r="1" spans="1:18" x14ac:dyDescent="0.35">
      <c r="A1" s="39" t="s">
        <v>92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89</v>
      </c>
      <c r="H2" s="41" t="s">
        <v>45</v>
      </c>
      <c r="I2" s="41" t="s">
        <v>46</v>
      </c>
      <c r="J2" s="41" t="s">
        <v>47</v>
      </c>
      <c r="K2" s="41" t="s">
        <v>90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77</v>
      </c>
      <c r="Q2" s="53" t="s">
        <v>52</v>
      </c>
    </row>
    <row r="3" spans="1:18" x14ac:dyDescent="0.35">
      <c r="B3" s="18" t="s">
        <v>53</v>
      </c>
      <c r="C3" s="64">
        <v>81910468143.949997</v>
      </c>
      <c r="D3" s="64">
        <v>82382019417.48999</v>
      </c>
      <c r="E3" s="64">
        <v>64584152834</v>
      </c>
      <c r="F3" s="64">
        <v>72311422759</v>
      </c>
      <c r="G3" s="64">
        <v>5228196964</v>
      </c>
      <c r="H3" s="64">
        <v>149335051312</v>
      </c>
      <c r="I3" s="64">
        <v>39297156256.32</v>
      </c>
      <c r="J3" s="64">
        <v>104252190461</v>
      </c>
      <c r="K3" s="64">
        <v>7433375123</v>
      </c>
      <c r="L3" s="64">
        <v>109432275325</v>
      </c>
      <c r="M3" s="64">
        <v>48288859615</v>
      </c>
      <c r="N3" s="64">
        <v>82809576745</v>
      </c>
      <c r="O3" s="64">
        <v>102416000075</v>
      </c>
      <c r="P3" s="64">
        <v>15312936604</v>
      </c>
      <c r="Q3" s="54">
        <f>SUM(C3:P3)</f>
        <v>964993681634.76001</v>
      </c>
      <c r="R3" s="51"/>
    </row>
    <row r="4" spans="1:18" x14ac:dyDescent="0.35">
      <c r="B4" s="18" t="s">
        <v>71</v>
      </c>
      <c r="C4" s="64">
        <v>151598662191.64999</v>
      </c>
      <c r="D4" s="64">
        <v>103134490611.53</v>
      </c>
      <c r="E4" s="64">
        <v>55784226909</v>
      </c>
      <c r="F4" s="64">
        <v>82108231235.199997</v>
      </c>
      <c r="G4" s="64">
        <v>6422575372</v>
      </c>
      <c r="H4" s="64">
        <v>37888175650.800003</v>
      </c>
      <c r="I4" s="64">
        <v>14343674156</v>
      </c>
      <c r="J4" s="64">
        <v>34785118849.690002</v>
      </c>
      <c r="K4" s="64">
        <v>4778324645</v>
      </c>
      <c r="L4" s="64">
        <v>28416761785</v>
      </c>
      <c r="M4" s="64">
        <v>7658975381</v>
      </c>
      <c r="N4" s="64">
        <v>35222262778.099998</v>
      </c>
      <c r="O4" s="64">
        <v>114103455659.58</v>
      </c>
      <c r="P4" s="64">
        <v>6743353247</v>
      </c>
      <c r="Q4" s="54">
        <f t="shared" ref="Q4:Q11" si="0">SUM(C4:P4)</f>
        <v>682988288471.54993</v>
      </c>
    </row>
    <row r="5" spans="1:18" x14ac:dyDescent="0.35">
      <c r="B5" s="18" t="s">
        <v>54</v>
      </c>
      <c r="C5" s="64">
        <v>15611363815.9</v>
      </c>
      <c r="D5" s="64">
        <v>16361779712</v>
      </c>
      <c r="E5" s="64">
        <v>11496348667</v>
      </c>
      <c r="F5" s="64">
        <v>13677973320</v>
      </c>
      <c r="G5" s="64">
        <v>655993705</v>
      </c>
      <c r="H5" s="64">
        <v>12285421830</v>
      </c>
      <c r="I5" s="64">
        <v>8570207706</v>
      </c>
      <c r="J5" s="64">
        <v>22329958650.75</v>
      </c>
      <c r="K5" s="64">
        <v>3168124850</v>
      </c>
      <c r="L5" s="64">
        <v>25012430885</v>
      </c>
      <c r="M5" s="64">
        <v>10851155316</v>
      </c>
      <c r="N5" s="64">
        <v>26252517795</v>
      </c>
      <c r="O5" s="64">
        <v>43120398783</v>
      </c>
      <c r="P5" s="64">
        <v>16196313661</v>
      </c>
      <c r="Q5" s="54">
        <f t="shared" si="0"/>
        <v>225589988696.64999</v>
      </c>
    </row>
    <row r="6" spans="1:18" x14ac:dyDescent="0.35">
      <c r="B6" s="18" t="s">
        <v>55</v>
      </c>
      <c r="C6" s="64">
        <v>2270470588</v>
      </c>
      <c r="D6" s="64">
        <v>3666378057</v>
      </c>
      <c r="E6" s="64">
        <v>2582903859</v>
      </c>
      <c r="F6" s="64">
        <v>4647430308</v>
      </c>
      <c r="G6" s="64">
        <v>560236145</v>
      </c>
      <c r="H6" s="64">
        <v>2344368035</v>
      </c>
      <c r="I6" s="64">
        <v>404936796</v>
      </c>
      <c r="J6" s="64">
        <v>3329064089</v>
      </c>
      <c r="K6" s="64">
        <v>521727310</v>
      </c>
      <c r="L6" s="64">
        <v>2703857204</v>
      </c>
      <c r="M6" s="64">
        <v>751472576</v>
      </c>
      <c r="N6" s="64">
        <v>2464995887</v>
      </c>
      <c r="O6" s="64">
        <v>4302561926</v>
      </c>
      <c r="P6" s="64">
        <v>236534060</v>
      </c>
      <c r="Q6" s="54">
        <f t="shared" si="0"/>
        <v>30786936840</v>
      </c>
    </row>
    <row r="7" spans="1:18" x14ac:dyDescent="0.35">
      <c r="B7" s="18" t="s">
        <v>56</v>
      </c>
      <c r="C7" s="64">
        <v>3163792081.73</v>
      </c>
      <c r="D7" s="64">
        <v>6387677015</v>
      </c>
      <c r="E7" s="64">
        <v>4544417507</v>
      </c>
      <c r="F7" s="64">
        <v>11025947755</v>
      </c>
      <c r="G7" s="64">
        <v>408617132</v>
      </c>
      <c r="H7" s="64">
        <v>9335335360</v>
      </c>
      <c r="I7" s="64">
        <v>4211455618</v>
      </c>
      <c r="J7" s="64">
        <v>10767105853</v>
      </c>
      <c r="K7" s="64">
        <v>1124823071</v>
      </c>
      <c r="L7" s="64">
        <v>9225081850</v>
      </c>
      <c r="M7" s="64">
        <v>2712024083</v>
      </c>
      <c r="N7" s="64">
        <v>7676818998</v>
      </c>
      <c r="O7" s="64">
        <v>10896675224</v>
      </c>
      <c r="P7" s="64">
        <v>1361614026</v>
      </c>
      <c r="Q7" s="54">
        <f t="shared" si="0"/>
        <v>82841385573.729996</v>
      </c>
    </row>
    <row r="8" spans="1:18" x14ac:dyDescent="0.35">
      <c r="B8" s="18" t="s">
        <v>57</v>
      </c>
      <c r="C8" s="64">
        <v>15365488650.51</v>
      </c>
      <c r="D8" s="64">
        <v>51905710293</v>
      </c>
      <c r="E8" s="64">
        <v>20146868327</v>
      </c>
      <c r="F8" s="64">
        <v>50622573861</v>
      </c>
      <c r="G8" s="64">
        <v>26344649</v>
      </c>
      <c r="H8" s="64">
        <v>51232435831</v>
      </c>
      <c r="I8" s="64">
        <v>16426444366</v>
      </c>
      <c r="J8" s="64">
        <v>59576956260</v>
      </c>
      <c r="K8" s="64">
        <v>847843869</v>
      </c>
      <c r="L8" s="64">
        <v>42380697567</v>
      </c>
      <c r="M8" s="64">
        <v>9157003503</v>
      </c>
      <c r="N8" s="64">
        <v>52147145979</v>
      </c>
      <c r="O8" s="64">
        <v>70806328221</v>
      </c>
      <c r="P8" s="64">
        <v>6973078632</v>
      </c>
      <c r="Q8" s="54">
        <f t="shared" si="0"/>
        <v>447614920008.51001</v>
      </c>
    </row>
    <row r="9" spans="1:18" x14ac:dyDescent="0.35">
      <c r="B9" s="18" t="s">
        <v>5</v>
      </c>
      <c r="C9" s="64">
        <v>53647224452.699997</v>
      </c>
      <c r="D9" s="64">
        <v>81035355638.979996</v>
      </c>
      <c r="E9" s="64">
        <v>55731627457</v>
      </c>
      <c r="F9" s="64">
        <v>96308950815</v>
      </c>
      <c r="G9" s="64">
        <v>9893119652</v>
      </c>
      <c r="H9" s="64">
        <v>79517199585.199997</v>
      </c>
      <c r="I9" s="64">
        <v>17184788079.68</v>
      </c>
      <c r="J9" s="64">
        <v>86365457274.25</v>
      </c>
      <c r="K9" s="64">
        <v>9686599479</v>
      </c>
      <c r="L9" s="64">
        <v>61587259677</v>
      </c>
      <c r="M9" s="64">
        <v>12792437403</v>
      </c>
      <c r="N9" s="64">
        <v>64954554109</v>
      </c>
      <c r="O9" s="64">
        <v>79625140905.419998</v>
      </c>
      <c r="P9" s="64">
        <v>24254973795</v>
      </c>
      <c r="Q9" s="54">
        <f t="shared" si="0"/>
        <v>732584688323.2301</v>
      </c>
    </row>
    <row r="10" spans="1:18" x14ac:dyDescent="0.35">
      <c r="B10" s="18" t="s">
        <v>58</v>
      </c>
      <c r="C10" s="64">
        <v>2418480483.4499998</v>
      </c>
      <c r="D10" s="64">
        <v>4947382304</v>
      </c>
      <c r="E10" s="64">
        <v>1401403012</v>
      </c>
      <c r="F10" s="64">
        <v>3354417308.8000002</v>
      </c>
      <c r="G10" s="64">
        <v>44916381</v>
      </c>
      <c r="H10" s="64">
        <v>6673643953</v>
      </c>
      <c r="I10" s="64">
        <v>3819889167</v>
      </c>
      <c r="J10" s="64">
        <v>5070135767.3099995</v>
      </c>
      <c r="K10" s="64">
        <v>821017788</v>
      </c>
      <c r="L10" s="64">
        <v>5503554659</v>
      </c>
      <c r="M10" s="64">
        <v>1169928619</v>
      </c>
      <c r="N10" s="64">
        <v>1699574579.9000001</v>
      </c>
      <c r="O10" s="64">
        <v>1981411714</v>
      </c>
      <c r="P10" s="64">
        <v>556867683</v>
      </c>
      <c r="Q10" s="54">
        <f t="shared" si="0"/>
        <v>39462623419.459999</v>
      </c>
    </row>
    <row r="11" spans="1:18" x14ac:dyDescent="0.35">
      <c r="A11" s="17"/>
      <c r="B11" s="19" t="s">
        <v>59</v>
      </c>
      <c r="C11" s="65">
        <v>228805831</v>
      </c>
      <c r="D11" s="65">
        <v>157866982</v>
      </c>
      <c r="E11" s="65">
        <v>212672</v>
      </c>
      <c r="F11" s="65">
        <v>12543589</v>
      </c>
      <c r="G11" s="65">
        <v>0</v>
      </c>
      <c r="H11" s="65">
        <v>596001054</v>
      </c>
      <c r="I11" s="65">
        <v>4000000</v>
      </c>
      <c r="J11" s="65">
        <v>32681706</v>
      </c>
      <c r="K11" s="65">
        <v>0</v>
      </c>
      <c r="L11" s="65">
        <v>14482150</v>
      </c>
      <c r="M11" s="65">
        <v>0</v>
      </c>
      <c r="N11" s="65">
        <v>6974000</v>
      </c>
      <c r="O11" s="65">
        <v>0</v>
      </c>
      <c r="P11" s="65">
        <v>0</v>
      </c>
      <c r="Q11" s="54">
        <f t="shared" si="0"/>
        <v>1053567984</v>
      </c>
    </row>
    <row r="12" spans="1:18" x14ac:dyDescent="0.35">
      <c r="B12" s="19"/>
      <c r="C12" s="20">
        <f>SUM(C3:C11)</f>
        <v>326214756238.89001</v>
      </c>
      <c r="D12" s="20">
        <f t="shared" ref="D12:P12" si="1">SUM(D3:D11)</f>
        <v>349978660031</v>
      </c>
      <c r="E12" s="20">
        <f t="shared" si="1"/>
        <v>216272161244</v>
      </c>
      <c r="F12" s="20">
        <f t="shared" si="1"/>
        <v>334069490951</v>
      </c>
      <c r="G12" s="20">
        <f t="shared" si="1"/>
        <v>23240000000</v>
      </c>
      <c r="H12" s="20">
        <f t="shared" si="1"/>
        <v>349207632611</v>
      </c>
      <c r="I12" s="20">
        <f t="shared" si="1"/>
        <v>104262552145</v>
      </c>
      <c r="J12" s="20">
        <f t="shared" si="1"/>
        <v>326508668911</v>
      </c>
      <c r="K12" s="20">
        <f t="shared" si="1"/>
        <v>28381836135</v>
      </c>
      <c r="L12" s="20">
        <f t="shared" si="1"/>
        <v>284276401102</v>
      </c>
      <c r="M12" s="20">
        <f t="shared" si="1"/>
        <v>93381856496</v>
      </c>
      <c r="N12" s="20">
        <f t="shared" si="1"/>
        <v>273234420871</v>
      </c>
      <c r="O12" s="20">
        <f t="shared" si="1"/>
        <v>427251972508</v>
      </c>
      <c r="P12" s="20">
        <f t="shared" si="1"/>
        <v>71635671708</v>
      </c>
      <c r="Q12" s="20">
        <f>SUM(Q3:Q11)</f>
        <v>3207916080951.8901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topLeftCell="B1" zoomScale="74" workbookViewId="0">
      <selection activeCell="L14" sqref="L14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28 February 2025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89</v>
      </c>
      <c r="H2" s="45" t="s">
        <v>45</v>
      </c>
      <c r="I2" s="45" t="s">
        <v>46</v>
      </c>
      <c r="J2" s="45" t="s">
        <v>47</v>
      </c>
      <c r="K2" s="45" t="s">
        <v>90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77</v>
      </c>
      <c r="Q2" s="45" t="s">
        <v>70</v>
      </c>
    </row>
    <row r="3" spans="1:17" x14ac:dyDescent="0.35">
      <c r="B3" s="46" t="s">
        <v>53</v>
      </c>
      <c r="C3" s="67">
        <v>0.25109369388540542</v>
      </c>
      <c r="D3" s="67">
        <v>0.23539155047394275</v>
      </c>
      <c r="E3" s="67">
        <v>0.29862443905175406</v>
      </c>
      <c r="F3" s="67">
        <v>0.21645623056792801</v>
      </c>
      <c r="G3" s="67">
        <v>0.22496544595524956</v>
      </c>
      <c r="H3" s="67">
        <v>0.4276397116392695</v>
      </c>
      <c r="I3" s="67">
        <v>0.37690575808722449</v>
      </c>
      <c r="J3" s="67">
        <v>0.31929379029570926</v>
      </c>
      <c r="K3" s="67">
        <v>0.2619060686434338</v>
      </c>
      <c r="L3" s="67">
        <v>0.38495026284554335</v>
      </c>
      <c r="M3" s="67">
        <v>0.51711179694814102</v>
      </c>
      <c r="N3" s="67">
        <v>0.30307154011205722</v>
      </c>
      <c r="O3" s="67">
        <v>0.23970866529605625</v>
      </c>
      <c r="P3" s="67">
        <v>0.21376133201372507</v>
      </c>
      <c r="Q3" s="67">
        <v>0.30081637339727912</v>
      </c>
    </row>
    <row r="4" spans="1:17" x14ac:dyDescent="0.35">
      <c r="B4" s="47" t="s">
        <v>71</v>
      </c>
      <c r="C4" s="67">
        <v>0.46472043122608753</v>
      </c>
      <c r="D4" s="67">
        <v>0.294687940694426</v>
      </c>
      <c r="E4" s="67">
        <v>0.25793530978803964</v>
      </c>
      <c r="F4" s="67">
        <v>0.24578189107140977</v>
      </c>
      <c r="G4" s="67">
        <v>0.27635866488812394</v>
      </c>
      <c r="H4" s="67">
        <v>0.10849755879478601</v>
      </c>
      <c r="I4" s="67">
        <v>0.13757263620453072</v>
      </c>
      <c r="J4" s="67">
        <v>0.10653658589129761</v>
      </c>
      <c r="K4" s="67">
        <v>0.16835854531298103</v>
      </c>
      <c r="L4" s="67">
        <v>9.9961733280856835E-2</v>
      </c>
      <c r="M4" s="67">
        <v>8.2017810187014983E-2</v>
      </c>
      <c r="N4" s="67">
        <v>0.12890858576975997</v>
      </c>
      <c r="O4" s="67">
        <v>0.26706361351542618</v>
      </c>
      <c r="P4" s="67">
        <v>9.4134012932650807E-2</v>
      </c>
      <c r="Q4" s="66">
        <v>0.20413961563726857</v>
      </c>
    </row>
    <row r="5" spans="1:17" x14ac:dyDescent="0.35">
      <c r="B5" s="47" t="s">
        <v>54</v>
      </c>
      <c r="C5" s="67">
        <v>4.785609331684449E-2</v>
      </c>
      <c r="D5" s="67">
        <v>4.6750792492750062E-2</v>
      </c>
      <c r="E5" s="67">
        <v>5.3156858473475586E-2</v>
      </c>
      <c r="F5" s="67">
        <v>4.0943497357578906E-2</v>
      </c>
      <c r="G5" s="67">
        <v>2.8226923623063685E-2</v>
      </c>
      <c r="H5" s="67">
        <v>3.5180851398186219E-2</v>
      </c>
      <c r="I5" s="67">
        <v>8.2198330365836833E-2</v>
      </c>
      <c r="J5" s="67">
        <v>6.8390094282111444E-2</v>
      </c>
      <c r="K5" s="67">
        <v>0.11162508425919358</v>
      </c>
      <c r="L5" s="67">
        <v>8.7986307650016277E-2</v>
      </c>
      <c r="M5" s="67">
        <v>0.11620196602607497</v>
      </c>
      <c r="N5" s="67">
        <v>9.6080565952539318E-2</v>
      </c>
      <c r="O5" s="67">
        <v>0.10092498468732664</v>
      </c>
      <c r="P5" s="67">
        <v>0.2260928567406908</v>
      </c>
      <c r="Q5" s="66">
        <v>6.7218271418500272E-2</v>
      </c>
    </row>
    <row r="6" spans="1:17" x14ac:dyDescent="0.35">
      <c r="B6" s="47" t="s">
        <v>55</v>
      </c>
      <c r="C6" s="67">
        <v>6.9600486936198368E-3</v>
      </c>
      <c r="D6" s="67">
        <v>1.0476004613181969E-2</v>
      </c>
      <c r="E6" s="67">
        <v>1.1942840188691448E-2</v>
      </c>
      <c r="F6" s="67">
        <v>1.391156760460256E-2</v>
      </c>
      <c r="G6" s="67">
        <v>2.4106546686746989E-2</v>
      </c>
      <c r="H6" s="67">
        <v>6.7133928816828295E-3</v>
      </c>
      <c r="I6" s="67">
        <v>3.8838181846617983E-3</v>
      </c>
      <c r="J6" s="67">
        <v>1.0195943954882984E-2</v>
      </c>
      <c r="K6" s="67">
        <v>1.838243683454344E-2</v>
      </c>
      <c r="L6" s="67">
        <v>9.5113670832980626E-3</v>
      </c>
      <c r="M6" s="67">
        <v>8.0473081623965055E-3</v>
      </c>
      <c r="N6" s="67">
        <v>9.0215423047441696E-3</v>
      </c>
      <c r="O6" s="67">
        <v>1.0070314949615446E-2</v>
      </c>
      <c r="P6" s="67">
        <v>3.3019032886877331E-3</v>
      </c>
      <c r="Q6" s="66">
        <v>9.3615198025416065E-3</v>
      </c>
    </row>
    <row r="7" spans="1:17" x14ac:dyDescent="0.35">
      <c r="B7" s="47" t="s">
        <v>56</v>
      </c>
      <c r="C7" s="67">
        <v>9.6984946916782843E-3</v>
      </c>
      <c r="D7" s="67">
        <v>1.8251618582785019E-2</v>
      </c>
      <c r="E7" s="67">
        <v>2.1012494076262322E-2</v>
      </c>
      <c r="F7" s="67">
        <v>3.3004952722896934E-2</v>
      </c>
      <c r="G7" s="67">
        <v>1.7582492771084337E-2</v>
      </c>
      <c r="H7" s="67">
        <v>2.673290755474151E-2</v>
      </c>
      <c r="I7" s="67">
        <v>4.0392792343535246E-2</v>
      </c>
      <c r="J7" s="67">
        <v>3.2976477742264497E-2</v>
      </c>
      <c r="K7" s="67">
        <v>3.9631793575641401E-2</v>
      </c>
      <c r="L7" s="67">
        <v>3.2451099754460408E-2</v>
      </c>
      <c r="M7" s="67">
        <v>2.9042302056997218E-2</v>
      </c>
      <c r="N7" s="67">
        <v>2.8096090432268035E-2</v>
      </c>
      <c r="O7" s="67">
        <v>2.550409576820846E-2</v>
      </c>
      <c r="P7" s="67">
        <v>1.9007485984778447E-2</v>
      </c>
      <c r="Q7" s="66">
        <v>2.453949994057688E-2</v>
      </c>
    </row>
    <row r="8" spans="1:17" x14ac:dyDescent="0.35">
      <c r="B8" s="47" t="s">
        <v>57</v>
      </c>
      <c r="C8" s="67">
        <v>4.7102371540966449E-2</v>
      </c>
      <c r="D8" s="67">
        <v>0.14831107213337624</v>
      </c>
      <c r="E8" s="67">
        <v>9.3155162509659023E-2</v>
      </c>
      <c r="F8" s="67">
        <v>0.15153306492278615</v>
      </c>
      <c r="G8" s="67">
        <v>1.1335907487091221E-3</v>
      </c>
      <c r="H8" s="67">
        <v>0.14671052705216897</v>
      </c>
      <c r="I8" s="67">
        <v>0.15754884211116776</v>
      </c>
      <c r="J8" s="67">
        <v>0.18246669057426937</v>
      </c>
      <c r="K8" s="67">
        <v>2.9872763163284327E-2</v>
      </c>
      <c r="L8" s="67">
        <v>0.14908271457887762</v>
      </c>
      <c r="M8" s="67">
        <v>9.8059771422430858E-2</v>
      </c>
      <c r="N8" s="67">
        <v>0.19085130567652681</v>
      </c>
      <c r="O8" s="67">
        <v>0.16572498847778683</v>
      </c>
      <c r="P8" s="67">
        <v>9.7340870347716352E-2</v>
      </c>
      <c r="Q8" s="66">
        <v>0.14006002305373402</v>
      </c>
    </row>
    <row r="9" spans="1:17" x14ac:dyDescent="0.35">
      <c r="B9" s="47" t="s">
        <v>5</v>
      </c>
      <c r="C9" s="67">
        <v>0.16445370243586913</v>
      </c>
      <c r="D9" s="67">
        <v>0.23154370506990951</v>
      </c>
      <c r="E9" s="67">
        <v>0.25769210025197431</v>
      </c>
      <c r="F9" s="67">
        <v>0.28829017142761537</v>
      </c>
      <c r="G9" s="67">
        <v>0.42569361669535283</v>
      </c>
      <c r="H9" s="67">
        <v>0.22770750739511533</v>
      </c>
      <c r="I9" s="67">
        <v>0.16482224658936773</v>
      </c>
      <c r="J9" s="67">
        <v>0.26451198849422147</v>
      </c>
      <c r="K9" s="67">
        <v>0.34129572987896473</v>
      </c>
      <c r="L9" s="67">
        <v>0.21664569917958873</v>
      </c>
      <c r="M9" s="67">
        <v>0.13699060912917235</v>
      </c>
      <c r="N9" s="67">
        <v>0.23772463916494063</v>
      </c>
      <c r="O9" s="67">
        <v>0.18636576547093431</v>
      </c>
      <c r="P9" s="67">
        <v>0.3385879299613142</v>
      </c>
      <c r="Q9" s="66">
        <v>0.24287543269786241</v>
      </c>
    </row>
    <row r="10" spans="1:17" x14ac:dyDescent="0.35">
      <c r="B10" s="47" t="s">
        <v>58</v>
      </c>
      <c r="C10" s="67">
        <v>7.4137678851012023E-3</v>
      </c>
      <c r="D10" s="67">
        <v>1.4136239916918867E-2</v>
      </c>
      <c r="E10" s="67">
        <v>6.4798123065821951E-3</v>
      </c>
      <c r="F10" s="67">
        <v>1.0041076481575545E-2</v>
      </c>
      <c r="G10" s="67">
        <v>1.9327186316695352E-3</v>
      </c>
      <c r="H10" s="67">
        <v>1.9110819265608977E-2</v>
      </c>
      <c r="I10" s="67">
        <v>3.6637211428390937E-2</v>
      </c>
      <c r="J10" s="67">
        <v>1.5528334314125121E-2</v>
      </c>
      <c r="K10" s="67">
        <v>2.8927578331957696E-2</v>
      </c>
      <c r="L10" s="67">
        <v>1.9359871722258414E-2</v>
      </c>
      <c r="M10" s="67">
        <v>1.2528436067772049E-2</v>
      </c>
      <c r="N10" s="67">
        <v>6.2202067165703359E-3</v>
      </c>
      <c r="O10" s="67">
        <v>4.637571834645888E-3</v>
      </c>
      <c r="P10" s="67">
        <v>7.7736087304366144E-3</v>
      </c>
      <c r="Q10" s="66">
        <v>1.1963268683713991E-2</v>
      </c>
    </row>
    <row r="11" spans="1:17" x14ac:dyDescent="0.35">
      <c r="B11" s="47" t="s">
        <v>59</v>
      </c>
      <c r="C11" s="67">
        <v>7.0139632442759098E-4</v>
      </c>
      <c r="D11" s="67">
        <v>4.5107602270954644E-4</v>
      </c>
      <c r="E11" s="67">
        <v>9.833535614417878E-7</v>
      </c>
      <c r="F11" s="67">
        <v>3.7547843606705899E-5</v>
      </c>
      <c r="G11" s="67">
        <v>0</v>
      </c>
      <c r="H11" s="67">
        <v>1.7067240184406726E-3</v>
      </c>
      <c r="I11" s="67">
        <v>3.8364685284483741E-5</v>
      </c>
      <c r="J11" s="67">
        <v>1.0009445111825931E-4</v>
      </c>
      <c r="K11" s="67">
        <v>0</v>
      </c>
      <c r="L11" s="67">
        <v>5.0943905100317214E-5</v>
      </c>
      <c r="M11" s="67">
        <v>0</v>
      </c>
      <c r="N11" s="67">
        <v>2.5523870593495172E-5</v>
      </c>
      <c r="O11" s="67">
        <v>0</v>
      </c>
      <c r="P11" s="67">
        <v>0</v>
      </c>
      <c r="Q11" s="66">
        <v>5.2413722571827408E-4</v>
      </c>
    </row>
    <row r="12" spans="1:17" ht="15" thickBot="1" x14ac:dyDescent="0.4">
      <c r="A12" s="17"/>
      <c r="B12" s="48"/>
      <c r="C12" s="49">
        <f>SUM(C3:C11)</f>
        <v>0.99999999999999978</v>
      </c>
      <c r="D12" s="49">
        <f t="shared" ref="D12:P12" si="0">SUM(D3:D11)</f>
        <v>0.99999999999999989</v>
      </c>
      <c r="E12" s="49">
        <f t="shared" si="0"/>
        <v>1.0000000000000002</v>
      </c>
      <c r="F12" s="49">
        <f t="shared" si="0"/>
        <v>1</v>
      </c>
      <c r="G12" s="49">
        <f t="shared" si="0"/>
        <v>1</v>
      </c>
      <c r="H12" s="49">
        <f t="shared" si="0"/>
        <v>1</v>
      </c>
      <c r="I12" s="49">
        <f t="shared" si="0"/>
        <v>0.99999999999999989</v>
      </c>
      <c r="J12" s="49">
        <f t="shared" si="0"/>
        <v>1.0000000000000002</v>
      </c>
      <c r="K12" s="49">
        <f t="shared" si="0"/>
        <v>1</v>
      </c>
      <c r="L12" s="49">
        <f t="shared" si="0"/>
        <v>0.99999999999999989</v>
      </c>
      <c r="M12" s="49">
        <f t="shared" si="0"/>
        <v>0.99999999999999989</v>
      </c>
      <c r="N12" s="49">
        <f t="shared" si="0"/>
        <v>0.99999999999999989</v>
      </c>
      <c r="O12" s="49">
        <f t="shared" si="0"/>
        <v>1</v>
      </c>
      <c r="P12" s="49">
        <f t="shared" si="0"/>
        <v>1</v>
      </c>
      <c r="Q12" s="49">
        <f>SUM(Q3:Q11)</f>
        <v>1.0014981418571951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zoomScale="59" workbookViewId="0">
      <selection activeCell="C3" sqref="C3:L11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3" width="17.7265625" style="15" bestFit="1" customWidth="1"/>
    <col min="4" max="4" width="16.54296875" style="15" bestFit="1" customWidth="1"/>
    <col min="5" max="8" width="17.7265625" style="15" bestFit="1" customWidth="1"/>
    <col min="9" max="9" width="17.7265625" style="15" customWidth="1"/>
    <col min="10" max="10" width="18.7265625" style="15" bestFit="1" customWidth="1"/>
    <col min="11" max="12" width="18.81640625" style="28" customWidth="1"/>
    <col min="13" max="13" width="20.81640625" style="28" customWidth="1"/>
    <col min="14" max="16384" width="9.1796875" style="28"/>
  </cols>
  <sheetData>
    <row r="1" spans="1:13" x14ac:dyDescent="0.35">
      <c r="A1" s="39" t="str">
        <f>'Fixed rate bond (Values)'!A1</f>
        <v>28 February 2025</v>
      </c>
      <c r="C1" s="32"/>
      <c r="D1" s="32"/>
      <c r="E1" s="32"/>
      <c r="F1" s="32"/>
      <c r="G1" s="32"/>
      <c r="H1" s="32"/>
      <c r="I1" s="32"/>
    </row>
    <row r="2" spans="1:13" x14ac:dyDescent="0.35">
      <c r="A2" s="17"/>
      <c r="B2" s="18" t="s">
        <v>40</v>
      </c>
      <c r="C2" s="40" t="s">
        <v>60</v>
      </c>
      <c r="D2" s="40" t="s">
        <v>66</v>
      </c>
      <c r="E2" s="40" t="s">
        <v>78</v>
      </c>
      <c r="F2" s="40" t="s">
        <v>61</v>
      </c>
      <c r="G2" s="40" t="s">
        <v>62</v>
      </c>
      <c r="H2" s="40" t="s">
        <v>63</v>
      </c>
      <c r="I2" s="40" t="s">
        <v>80</v>
      </c>
      <c r="J2" s="40" t="s">
        <v>64</v>
      </c>
      <c r="K2" s="22" t="s">
        <v>65</v>
      </c>
      <c r="L2" s="22" t="s">
        <v>81</v>
      </c>
      <c r="M2" s="22" t="s">
        <v>82</v>
      </c>
    </row>
    <row r="3" spans="1:13" x14ac:dyDescent="0.35">
      <c r="B3" s="18" t="s">
        <v>53</v>
      </c>
      <c r="C3" s="64">
        <v>116140432</v>
      </c>
      <c r="D3" s="64">
        <v>1613321624</v>
      </c>
      <c r="E3" s="64">
        <v>167320000</v>
      </c>
      <c r="F3" s="64">
        <v>11610226503</v>
      </c>
      <c r="G3" s="64">
        <v>211866358</v>
      </c>
      <c r="H3" s="64">
        <v>4034830836</v>
      </c>
      <c r="I3" s="64">
        <v>34400000</v>
      </c>
      <c r="J3" s="64">
        <v>6976681010</v>
      </c>
      <c r="K3" s="64">
        <v>3926737837</v>
      </c>
      <c r="L3" s="64">
        <v>25374000</v>
      </c>
      <c r="M3" s="20">
        <f t="shared" ref="M3:M11" si="0">SUM(C3:L3)</f>
        <v>28716898600</v>
      </c>
    </row>
    <row r="4" spans="1:13" x14ac:dyDescent="0.35">
      <c r="B4" s="18" t="s">
        <v>71</v>
      </c>
      <c r="C4" s="64">
        <v>2322539876</v>
      </c>
      <c r="D4" s="64">
        <v>2755695675</v>
      </c>
      <c r="E4" s="64">
        <v>408253700</v>
      </c>
      <c r="F4" s="64">
        <v>3430510681</v>
      </c>
      <c r="G4" s="64">
        <v>5209849962.9700003</v>
      </c>
      <c r="H4" s="64">
        <v>5397777108.8899994</v>
      </c>
      <c r="I4" s="64">
        <v>59505550</v>
      </c>
      <c r="J4" s="64">
        <v>13777027599.99</v>
      </c>
      <c r="K4" s="64">
        <v>15317930082.890001</v>
      </c>
      <c r="L4" s="64">
        <v>247392832</v>
      </c>
      <c r="M4" s="20">
        <f t="shared" si="0"/>
        <v>48926483068.739998</v>
      </c>
    </row>
    <row r="5" spans="1:13" x14ac:dyDescent="0.35">
      <c r="B5" s="18" t="s">
        <v>54</v>
      </c>
      <c r="C5" s="64">
        <v>1697832408</v>
      </c>
      <c r="D5" s="64">
        <v>3386544389</v>
      </c>
      <c r="E5" s="64">
        <v>832194942</v>
      </c>
      <c r="F5" s="64">
        <v>2802841877</v>
      </c>
      <c r="G5" s="64">
        <v>1578673913.8499999</v>
      </c>
      <c r="H5" s="64">
        <v>5266742868</v>
      </c>
      <c r="I5" s="64">
        <v>611240486</v>
      </c>
      <c r="J5" s="64">
        <v>6799906313</v>
      </c>
      <c r="K5" s="64">
        <v>7387904466</v>
      </c>
      <c r="L5" s="64">
        <v>158605264</v>
      </c>
      <c r="M5" s="20">
        <f t="shared" si="0"/>
        <v>30522486926.849998</v>
      </c>
    </row>
    <row r="6" spans="1:13" x14ac:dyDescent="0.35">
      <c r="B6" s="18" t="s">
        <v>55</v>
      </c>
      <c r="C6" s="64">
        <v>176265476</v>
      </c>
      <c r="D6" s="64">
        <v>2449450442</v>
      </c>
      <c r="E6" s="64">
        <v>344895700</v>
      </c>
      <c r="F6" s="64">
        <v>1893477569</v>
      </c>
      <c r="G6" s="64">
        <v>411922884</v>
      </c>
      <c r="H6" s="64">
        <v>1403832153.05</v>
      </c>
      <c r="I6" s="64">
        <v>268498574</v>
      </c>
      <c r="J6" s="64">
        <v>1643105892</v>
      </c>
      <c r="K6" s="64">
        <v>2912602859.8099999</v>
      </c>
      <c r="L6" s="64">
        <v>402869100</v>
      </c>
      <c r="M6" s="20">
        <f t="shared" si="0"/>
        <v>11906920649.859999</v>
      </c>
    </row>
    <row r="7" spans="1:13" x14ac:dyDescent="0.35">
      <c r="B7" s="18" t="s">
        <v>56</v>
      </c>
      <c r="C7" s="64">
        <v>2243840450.75</v>
      </c>
      <c r="D7" s="64">
        <v>6270139863</v>
      </c>
      <c r="E7" s="64">
        <v>485171600</v>
      </c>
      <c r="F7" s="64">
        <v>8292385033</v>
      </c>
      <c r="G7" s="64">
        <v>3143755418.9300003</v>
      </c>
      <c r="H7" s="64">
        <v>11374730010</v>
      </c>
      <c r="I7" s="64">
        <v>1334097703</v>
      </c>
      <c r="J7" s="64">
        <v>16682832821</v>
      </c>
      <c r="K7" s="64">
        <v>20159718732.560001</v>
      </c>
      <c r="L7" s="64">
        <v>1081341731</v>
      </c>
      <c r="M7" s="20">
        <f t="shared" si="0"/>
        <v>71068013363.240005</v>
      </c>
    </row>
    <row r="8" spans="1:13" x14ac:dyDescent="0.35">
      <c r="B8" s="18" t="s">
        <v>57</v>
      </c>
      <c r="C8" s="64">
        <v>19406992590</v>
      </c>
      <c r="D8" s="64">
        <v>35185378620</v>
      </c>
      <c r="E8" s="64">
        <v>1522297000</v>
      </c>
      <c r="F8" s="64">
        <v>43794386765</v>
      </c>
      <c r="G8" s="64">
        <v>23093963306</v>
      </c>
      <c r="H8" s="64">
        <v>58328678494</v>
      </c>
      <c r="I8" s="64">
        <v>7821315000</v>
      </c>
      <c r="J8" s="64">
        <v>53345788624</v>
      </c>
      <c r="K8" s="64">
        <v>62009142065</v>
      </c>
      <c r="L8" s="64">
        <v>3445909982</v>
      </c>
      <c r="M8" s="20">
        <f t="shared" si="0"/>
        <v>307953852446</v>
      </c>
    </row>
    <row r="9" spans="1:13" x14ac:dyDescent="0.35">
      <c r="B9" s="18" t="s">
        <v>5</v>
      </c>
      <c r="C9" s="64">
        <v>5732295100.0200005</v>
      </c>
      <c r="D9" s="64">
        <v>28449221215</v>
      </c>
      <c r="E9" s="64">
        <v>4570092135</v>
      </c>
      <c r="F9" s="64">
        <v>16071023914</v>
      </c>
      <c r="G9" s="64">
        <v>3881047477.25</v>
      </c>
      <c r="H9" s="64">
        <v>8582118484.0599995</v>
      </c>
      <c r="I9" s="64">
        <v>1693666860</v>
      </c>
      <c r="J9" s="64">
        <v>7837950832.0100002</v>
      </c>
      <c r="K9" s="64">
        <v>5860927470.7399998</v>
      </c>
      <c r="L9" s="64">
        <v>693410922</v>
      </c>
      <c r="M9" s="20">
        <f t="shared" si="0"/>
        <v>83371754410.080002</v>
      </c>
    </row>
    <row r="10" spans="1:13" x14ac:dyDescent="0.35">
      <c r="B10" s="18" t="s">
        <v>58</v>
      </c>
      <c r="C10" s="64">
        <v>211611229.22999999</v>
      </c>
      <c r="D10" s="64">
        <v>736521703</v>
      </c>
      <c r="E10" s="64">
        <v>54774923</v>
      </c>
      <c r="F10" s="64">
        <v>621490730</v>
      </c>
      <c r="G10" s="64">
        <v>406305678</v>
      </c>
      <c r="H10" s="64">
        <v>1503043883</v>
      </c>
      <c r="I10" s="64">
        <v>35223243</v>
      </c>
      <c r="J10" s="64">
        <v>2402420122</v>
      </c>
      <c r="K10" s="64">
        <v>2644362389</v>
      </c>
      <c r="L10" s="64">
        <v>47023000</v>
      </c>
      <c r="M10" s="20">
        <f t="shared" si="0"/>
        <v>8662776900.2299995</v>
      </c>
    </row>
    <row r="11" spans="1:13" x14ac:dyDescent="0.35">
      <c r="B11" s="18" t="s">
        <v>59</v>
      </c>
      <c r="C11" s="65">
        <v>300000</v>
      </c>
      <c r="D11" s="65">
        <v>0</v>
      </c>
      <c r="E11" s="65">
        <v>0</v>
      </c>
      <c r="F11" s="65">
        <v>0</v>
      </c>
      <c r="G11" s="65">
        <v>3800000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20">
        <f t="shared" si="0"/>
        <v>4100000</v>
      </c>
    </row>
    <row r="12" spans="1:13" x14ac:dyDescent="0.35">
      <c r="A12" s="17"/>
      <c r="B12" s="18"/>
      <c r="C12" s="33">
        <f t="shared" ref="C12:M12" si="1">SUM(C3:C11)</f>
        <v>31907817562</v>
      </c>
      <c r="D12" s="33">
        <f t="shared" si="1"/>
        <v>80846273531</v>
      </c>
      <c r="E12" s="33">
        <f t="shared" si="1"/>
        <v>8385000000</v>
      </c>
      <c r="F12" s="33">
        <f t="shared" si="1"/>
        <v>88516343072</v>
      </c>
      <c r="G12" s="33">
        <f t="shared" si="1"/>
        <v>37941184999</v>
      </c>
      <c r="H12" s="33">
        <f t="shared" si="1"/>
        <v>95891753837</v>
      </c>
      <c r="I12" s="33">
        <f t="shared" si="1"/>
        <v>11857947416</v>
      </c>
      <c r="J12" s="33">
        <f t="shared" si="1"/>
        <v>109465713213.99998</v>
      </c>
      <c r="K12" s="33">
        <f t="shared" si="1"/>
        <v>120219325903.00002</v>
      </c>
      <c r="L12" s="33">
        <f t="shared" si="1"/>
        <v>6101926831</v>
      </c>
      <c r="M12" s="33">
        <f t="shared" si="1"/>
        <v>591133286365</v>
      </c>
    </row>
    <row r="13" spans="1:13" x14ac:dyDescent="0.35">
      <c r="C13" s="26"/>
      <c r="D13" s="26"/>
      <c r="E13" s="26"/>
      <c r="F13" s="26"/>
      <c r="G13" s="26"/>
      <c r="H13" s="26"/>
      <c r="I13" s="26"/>
      <c r="J13" s="26"/>
      <c r="K13" s="42"/>
      <c r="L13" s="42"/>
    </row>
    <row r="14" spans="1:13" x14ac:dyDescent="0.35">
      <c r="C14" s="34"/>
      <c r="D14" s="34"/>
      <c r="E14" s="34"/>
      <c r="F14" s="34"/>
      <c r="G14" s="34"/>
      <c r="H14" s="34"/>
      <c r="I14" s="34"/>
      <c r="J14" s="34"/>
      <c r="K14" s="42"/>
      <c r="L14" s="42"/>
    </row>
    <row r="15" spans="1:13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3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spans="3:12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3:12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3:12" x14ac:dyDescent="0.35">
      <c r="C19" s="26"/>
      <c r="D19" s="26"/>
      <c r="E19" s="26"/>
      <c r="F19" s="26"/>
      <c r="G19" s="26"/>
      <c r="H19" s="26"/>
      <c r="I19" s="26"/>
      <c r="J19" s="26"/>
      <c r="K19" s="26" t="s">
        <v>88</v>
      </c>
      <c r="L19" s="26"/>
    </row>
    <row r="20" spans="3:12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3:12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3:12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3:12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</row>
    <row r="24" spans="3:12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="85" zoomScaleNormal="73" workbookViewId="0">
      <selection activeCell="C3" sqref="C3:M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" style="15" bestFit="1" customWidth="1"/>
    <col min="4" max="4" width="11" style="15" customWidth="1"/>
    <col min="5" max="5" width="11" style="15" bestFit="1" customWidth="1"/>
    <col min="6" max="8" width="11.26953125" style="15" bestFit="1" customWidth="1"/>
    <col min="9" max="9" width="11.26953125" style="15" customWidth="1"/>
    <col min="10" max="10" width="11.7265625" style="28" customWidth="1"/>
    <col min="11" max="12" width="11.08984375" style="28" bestFit="1" customWidth="1"/>
    <col min="13" max="16384" width="9.1796875" style="28"/>
  </cols>
  <sheetData>
    <row r="1" spans="1:13" x14ac:dyDescent="0.35">
      <c r="A1" s="39" t="str">
        <f>'Fixed rate bond (Values)'!A1</f>
        <v>28 February 2025</v>
      </c>
    </row>
    <row r="2" spans="1:13" x14ac:dyDescent="0.35">
      <c r="A2" s="17"/>
      <c r="B2" s="18"/>
      <c r="C2" s="22" t="s">
        <v>60</v>
      </c>
      <c r="D2" s="22" t="s">
        <v>66</v>
      </c>
      <c r="E2" s="22" t="s">
        <v>78</v>
      </c>
      <c r="F2" s="22" t="s">
        <v>61</v>
      </c>
      <c r="G2" s="22" t="s">
        <v>62</v>
      </c>
      <c r="H2" s="22" t="s">
        <v>63</v>
      </c>
      <c r="I2" s="22" t="s">
        <v>80</v>
      </c>
      <c r="J2" s="22" t="s">
        <v>64</v>
      </c>
      <c r="K2" s="43" t="s">
        <v>65</v>
      </c>
      <c r="L2" s="43" t="s">
        <v>81</v>
      </c>
      <c r="M2" s="43" t="s">
        <v>70</v>
      </c>
    </row>
    <row r="3" spans="1:13" x14ac:dyDescent="0.35">
      <c r="B3" s="18" t="s">
        <v>53</v>
      </c>
      <c r="C3" s="68">
        <v>3.6398738890344919E-3</v>
      </c>
      <c r="D3" s="68">
        <v>1.9955423466505008E-2</v>
      </c>
      <c r="E3" s="68">
        <v>1.9954680977936793E-2</v>
      </c>
      <c r="F3" s="68">
        <v>0.13116477816482019</v>
      </c>
      <c r="G3" s="68">
        <v>5.584073296750855E-3</v>
      </c>
      <c r="H3" s="68">
        <v>4.2076932317439308E-2</v>
      </c>
      <c r="I3" s="68">
        <v>2.9010079732335356E-3</v>
      </c>
      <c r="J3" s="68">
        <v>6.3733938282217545E-2</v>
      </c>
      <c r="K3" s="68">
        <v>3.2663116412483643E-2</v>
      </c>
      <c r="L3" s="68">
        <v>4.1583586140513653E-3</v>
      </c>
      <c r="M3" s="68">
        <v>4.8579397002977295E-2</v>
      </c>
    </row>
    <row r="4" spans="1:13" x14ac:dyDescent="0.35">
      <c r="B4" s="18" t="s">
        <v>71</v>
      </c>
      <c r="C4" s="68">
        <v>7.2789054641141743E-2</v>
      </c>
      <c r="D4" s="68">
        <v>3.4085623921099414E-2</v>
      </c>
      <c r="E4" s="68">
        <v>4.8688574836016699E-2</v>
      </c>
      <c r="F4" s="68">
        <v>3.8755675640707289E-2</v>
      </c>
      <c r="G4" s="68">
        <v>0.13731384412762315</v>
      </c>
      <c r="H4" s="68">
        <v>5.6290315829089131E-2</v>
      </c>
      <c r="I4" s="68">
        <v>5.0181998546990356E-3</v>
      </c>
      <c r="J4" s="68">
        <v>0.12585701216833622</v>
      </c>
      <c r="K4" s="68">
        <v>0.12741653613371118</v>
      </c>
      <c r="L4" s="68">
        <v>4.0543395365404043E-2</v>
      </c>
      <c r="M4" s="68">
        <v>8.2767261119059951E-2</v>
      </c>
    </row>
    <row r="5" spans="1:13" x14ac:dyDescent="0.35">
      <c r="B5" s="18" t="s">
        <v>54</v>
      </c>
      <c r="C5" s="68">
        <v>5.3210546434300815E-2</v>
      </c>
      <c r="D5" s="68">
        <v>4.1888688755721694E-2</v>
      </c>
      <c r="E5" s="68">
        <v>9.9248055098389978E-2</v>
      </c>
      <c r="F5" s="68">
        <v>3.1664682246533196E-2</v>
      </c>
      <c r="G5" s="68">
        <v>4.1608450392142692E-2</v>
      </c>
      <c r="H5" s="68">
        <v>5.4923835024986455E-2</v>
      </c>
      <c r="I5" s="68">
        <v>5.1546904751428528E-2</v>
      </c>
      <c r="J5" s="68">
        <v>6.2119051832298613E-2</v>
      </c>
      <c r="K5" s="68">
        <v>6.1453550920431824E-2</v>
      </c>
      <c r="L5" s="68">
        <v>2.599265254939272E-2</v>
      </c>
      <c r="M5" s="68">
        <v>5.1633849135004795E-2</v>
      </c>
    </row>
    <row r="6" spans="1:13" x14ac:dyDescent="0.35">
      <c r="B6" s="18" t="s">
        <v>55</v>
      </c>
      <c r="C6" s="68">
        <v>5.5242097225076271E-3</v>
      </c>
      <c r="D6" s="68">
        <v>3.0297629501262954E-2</v>
      </c>
      <c r="E6" s="68">
        <v>4.1132462731067382E-2</v>
      </c>
      <c r="F6" s="68">
        <v>2.1391276495232391E-2</v>
      </c>
      <c r="G6" s="68">
        <v>1.0856879773545736E-2</v>
      </c>
      <c r="H6" s="68">
        <v>1.4639758862230016E-2</v>
      </c>
      <c r="I6" s="68">
        <v>2.264292162720449E-2</v>
      </c>
      <c r="J6" s="68">
        <v>1.5010233284533672E-2</v>
      </c>
      <c r="K6" s="68">
        <v>2.422740967754268E-2</v>
      </c>
      <c r="L6" s="68">
        <v>6.6023259727284664E-2</v>
      </c>
      <c r="M6" s="68">
        <v>2.0142531176138127E-2</v>
      </c>
    </row>
    <row r="7" spans="1:13" x14ac:dyDescent="0.35">
      <c r="B7" s="18" t="s">
        <v>56</v>
      </c>
      <c r="C7" s="68">
        <v>7.0322592461549566E-2</v>
      </c>
      <c r="D7" s="68">
        <v>7.7556324975148722E-2</v>
      </c>
      <c r="E7" s="68">
        <v>5.786184853905784E-2</v>
      </c>
      <c r="F7" s="68">
        <v>9.3681965897019701E-2</v>
      </c>
      <c r="G7" s="68">
        <v>8.285865133133978E-2</v>
      </c>
      <c r="H7" s="68">
        <v>0.1186205231925901</v>
      </c>
      <c r="I7" s="68">
        <v>0.11250663004289375</v>
      </c>
      <c r="J7" s="68">
        <v>0.15240235806426344</v>
      </c>
      <c r="K7" s="68">
        <v>0.16769116430436518</v>
      </c>
      <c r="L7" s="68">
        <v>0.17721315921167591</v>
      </c>
      <c r="M7" s="68">
        <v>0.12022333203439078</v>
      </c>
    </row>
    <row r="8" spans="1:13" x14ac:dyDescent="0.35">
      <c r="B8" s="18" t="s">
        <v>57</v>
      </c>
      <c r="C8" s="68">
        <v>0.60822062030066215</v>
      </c>
      <c r="D8" s="68">
        <v>0.43521336337794697</v>
      </c>
      <c r="E8" s="68">
        <v>0.18155002981514609</v>
      </c>
      <c r="F8" s="68">
        <v>0.49476046168533244</v>
      </c>
      <c r="G8" s="68">
        <v>0.60867796582022093</v>
      </c>
      <c r="H8" s="68">
        <v>0.60827627152538088</v>
      </c>
      <c r="I8" s="68">
        <v>0.65958422023753049</v>
      </c>
      <c r="J8" s="68">
        <v>0.48732874484370881</v>
      </c>
      <c r="K8" s="68">
        <v>0.51580011449267815</v>
      </c>
      <c r="L8" s="68">
        <v>0.5647248938636118</v>
      </c>
      <c r="M8" s="68">
        <v>0.52095501902738639</v>
      </c>
    </row>
    <row r="9" spans="1:13" x14ac:dyDescent="0.35">
      <c r="B9" s="18" t="s">
        <v>5</v>
      </c>
      <c r="C9" s="68">
        <v>0.17965174487040966</v>
      </c>
      <c r="D9" s="68">
        <v>0.35189279570308607</v>
      </c>
      <c r="E9" s="68">
        <v>0.54503185867620751</v>
      </c>
      <c r="F9" s="68">
        <v>0.18155996233291838</v>
      </c>
      <c r="G9" s="68">
        <v>0.10229115082600322</v>
      </c>
      <c r="H9" s="68">
        <v>8.9497982262877057E-2</v>
      </c>
      <c r="I9" s="68">
        <v>0.14282968211806413</v>
      </c>
      <c r="J9" s="68">
        <v>7.1601879729109322E-2</v>
      </c>
      <c r="K9" s="68">
        <v>4.8751957530263804E-2</v>
      </c>
      <c r="L9" s="68">
        <v>0.11363802634886101</v>
      </c>
      <c r="M9" s="68">
        <v>0.14103715072915288</v>
      </c>
    </row>
    <row r="10" spans="1:13" x14ac:dyDescent="0.35">
      <c r="B10" s="18" t="s">
        <v>58</v>
      </c>
      <c r="C10" s="68">
        <v>6.631955595797762E-3</v>
      </c>
      <c r="D10" s="68">
        <v>9.1101502992291337E-3</v>
      </c>
      <c r="E10" s="68">
        <v>6.5324893261776984E-3</v>
      </c>
      <c r="F10" s="68">
        <v>7.0211975374363782E-3</v>
      </c>
      <c r="G10" s="68">
        <v>1.0708829416126798E-2</v>
      </c>
      <c r="H10" s="68">
        <v>1.5674380985406983E-2</v>
      </c>
      <c r="I10" s="68">
        <v>2.9704333949459975E-3</v>
      </c>
      <c r="J10" s="68">
        <v>2.1946781795532534E-2</v>
      </c>
      <c r="K10" s="68">
        <v>2.1996150528523394E-2</v>
      </c>
      <c r="L10" s="68">
        <v>7.7062543197185052E-3</v>
      </c>
      <c r="M10" s="68">
        <v>1.465452394585863E-2</v>
      </c>
    </row>
    <row r="11" spans="1:13" x14ac:dyDescent="0.35">
      <c r="B11" s="18" t="s">
        <v>59</v>
      </c>
      <c r="C11" s="68">
        <v>9.4020845962614255E-6</v>
      </c>
      <c r="D11" s="68">
        <v>0</v>
      </c>
      <c r="E11" s="68">
        <v>0</v>
      </c>
      <c r="F11" s="68">
        <v>0</v>
      </c>
      <c r="G11" s="68">
        <v>1.001550162468609E-4</v>
      </c>
      <c r="H11" s="68">
        <v>0</v>
      </c>
      <c r="I11" s="68">
        <v>0</v>
      </c>
      <c r="J11" s="68">
        <v>0</v>
      </c>
      <c r="K11" s="68">
        <v>0</v>
      </c>
      <c r="L11" s="68">
        <v>0</v>
      </c>
      <c r="M11" s="68">
        <v>6.9358300311791643E-6</v>
      </c>
    </row>
    <row r="12" spans="1:13" x14ac:dyDescent="0.35">
      <c r="B12" s="23"/>
      <c r="C12" s="21">
        <f t="shared" ref="C12:M12" si="0">SUM(C3:C11)</f>
        <v>1</v>
      </c>
      <c r="D12" s="21">
        <f t="shared" si="0"/>
        <v>1</v>
      </c>
      <c r="E12" s="21">
        <f t="shared" si="0"/>
        <v>1</v>
      </c>
      <c r="F12" s="21">
        <f t="shared" si="0"/>
        <v>0.99999999999999989</v>
      </c>
      <c r="G12" s="21">
        <f t="shared" si="0"/>
        <v>1.0000000000000002</v>
      </c>
      <c r="H12" s="21">
        <f t="shared" si="0"/>
        <v>0.99999999999999989</v>
      </c>
      <c r="I12" s="21">
        <f t="shared" si="0"/>
        <v>0.99999999999999989</v>
      </c>
      <c r="J12" s="21">
        <f t="shared" si="0"/>
        <v>1.0000000000000002</v>
      </c>
      <c r="K12" s="21">
        <f t="shared" si="0"/>
        <v>0.99999999999999989</v>
      </c>
      <c r="L12" s="21">
        <f t="shared" si="0"/>
        <v>1</v>
      </c>
      <c r="M12" s="21">
        <f t="shared" si="0"/>
        <v>1</v>
      </c>
    </row>
    <row r="13" spans="1:13" x14ac:dyDescent="0.35">
      <c r="C13" s="30"/>
      <c r="D13" s="30"/>
      <c r="E13" s="30"/>
      <c r="F13" s="30"/>
      <c r="G13" s="30"/>
      <c r="H13" s="30"/>
      <c r="I13" s="30"/>
    </row>
    <row r="17" spans="2:9" x14ac:dyDescent="0.35">
      <c r="B17" s="28"/>
      <c r="C17" s="28"/>
      <c r="D17" s="28"/>
      <c r="E17" s="28"/>
      <c r="F17" s="28"/>
      <c r="G17" s="28"/>
      <c r="H17" s="28"/>
      <c r="I17" s="28"/>
    </row>
    <row r="18" spans="2:9" x14ac:dyDescent="0.35">
      <c r="B18" s="28"/>
      <c r="C18" s="28"/>
      <c r="D18" s="28"/>
      <c r="E18" s="28"/>
      <c r="F18" s="28"/>
      <c r="G18" s="28"/>
      <c r="H18" s="28"/>
      <c r="I18" s="28"/>
    </row>
    <row r="19" spans="2:9" x14ac:dyDescent="0.35">
      <c r="B19" s="28"/>
      <c r="C19" s="28"/>
      <c r="D19" s="28"/>
      <c r="E19" s="28"/>
      <c r="F19" s="28"/>
      <c r="G19" s="28"/>
      <c r="H19" s="28"/>
      <c r="I19" s="28"/>
    </row>
    <row r="20" spans="2:9" x14ac:dyDescent="0.35">
      <c r="B20" s="28"/>
      <c r="C20" s="28"/>
      <c r="D20" s="28"/>
      <c r="E20" s="28"/>
      <c r="F20" s="28"/>
      <c r="G20" s="28"/>
      <c r="H20" s="28"/>
      <c r="I20" s="28"/>
    </row>
    <row r="21" spans="2:9" x14ac:dyDescent="0.35">
      <c r="B21" s="28"/>
      <c r="C21" s="28"/>
      <c r="D21" s="28"/>
      <c r="E21" s="28"/>
      <c r="F21" s="28"/>
      <c r="G21" s="28"/>
      <c r="H21" s="28"/>
      <c r="I21" s="28"/>
    </row>
    <row r="22" spans="2:9" x14ac:dyDescent="0.35">
      <c r="B22" s="28"/>
      <c r="C22" s="28"/>
      <c r="D22" s="28"/>
      <c r="E22" s="28"/>
      <c r="F22" s="28"/>
      <c r="G22" s="28"/>
      <c r="H22" s="28"/>
      <c r="I22" s="28"/>
    </row>
    <row r="23" spans="2:9" x14ac:dyDescent="0.35">
      <c r="B23" s="28"/>
      <c r="C23" s="28"/>
      <c r="D23" s="28"/>
      <c r="E23" s="28"/>
      <c r="F23" s="28"/>
      <c r="G23" s="28"/>
      <c r="H23" s="28"/>
      <c r="I23" s="28"/>
    </row>
    <row r="24" spans="2:9" x14ac:dyDescent="0.35">
      <c r="B24" s="28"/>
      <c r="C24" s="28"/>
      <c r="D24" s="28"/>
      <c r="E24" s="28"/>
      <c r="F24" s="28"/>
      <c r="G24" s="28"/>
      <c r="H24" s="28"/>
      <c r="I24" s="28"/>
    </row>
    <row r="25" spans="2:9" x14ac:dyDescent="0.35">
      <c r="B25" s="28"/>
      <c r="C25" s="28"/>
      <c r="D25" s="28"/>
      <c r="E25" s="28"/>
      <c r="F25" s="28"/>
      <c r="G25" s="28"/>
      <c r="H25" s="28"/>
      <c r="I25" s="28"/>
    </row>
    <row r="26" spans="2:9" x14ac:dyDescent="0.35">
      <c r="B26" s="28"/>
      <c r="C26" s="28"/>
      <c r="D26" s="28"/>
      <c r="E26" s="28"/>
      <c r="F26" s="28"/>
      <c r="G26" s="28"/>
      <c r="H26" s="28"/>
      <c r="I26" s="28"/>
    </row>
    <row r="27" spans="2:9" x14ac:dyDescent="0.35">
      <c r="B27" s="28"/>
      <c r="C27" s="28"/>
      <c r="D27" s="28"/>
      <c r="E27" s="28"/>
      <c r="F27" s="28"/>
      <c r="G27" s="28"/>
      <c r="H27" s="28"/>
      <c r="I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C3" sqref="C3:D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28 February 2025</v>
      </c>
    </row>
    <row r="2" spans="1:13" x14ac:dyDescent="0.35">
      <c r="A2" s="17"/>
      <c r="B2" s="18" t="s">
        <v>40</v>
      </c>
      <c r="C2" s="18" t="s">
        <v>75</v>
      </c>
      <c r="D2" s="53" t="s">
        <v>79</v>
      </c>
      <c r="E2" s="53" t="s">
        <v>52</v>
      </c>
      <c r="K2" s="15"/>
      <c r="L2" s="15"/>
    </row>
    <row r="3" spans="1:13" x14ac:dyDescent="0.35">
      <c r="B3" s="18" t="s">
        <v>53</v>
      </c>
      <c r="C3" s="64">
        <v>214814011</v>
      </c>
      <c r="D3" s="64">
        <v>545370000</v>
      </c>
      <c r="E3" s="54">
        <f>SUM(C3:D3)</f>
        <v>760184011</v>
      </c>
      <c r="K3" s="15"/>
      <c r="L3" s="15"/>
      <c r="M3" s="50"/>
    </row>
    <row r="4" spans="1:13" x14ac:dyDescent="0.35">
      <c r="B4" s="18" t="s">
        <v>71</v>
      </c>
      <c r="C4" s="64">
        <v>52607700000</v>
      </c>
      <c r="D4" s="64">
        <v>53138059227</v>
      </c>
      <c r="E4" s="54">
        <f t="shared" ref="E4:E11" si="0">SUM(C4:D4)</f>
        <v>105745759227</v>
      </c>
      <c r="K4" s="15"/>
      <c r="L4" s="15"/>
      <c r="M4" s="50"/>
    </row>
    <row r="5" spans="1:13" x14ac:dyDescent="0.35">
      <c r="B5" s="18" t="s">
        <v>54</v>
      </c>
      <c r="C5" s="64">
        <v>1421850000</v>
      </c>
      <c r="D5" s="64">
        <v>6743314000</v>
      </c>
      <c r="E5" s="54">
        <f t="shared" si="0"/>
        <v>8165164000</v>
      </c>
      <c r="K5" s="15"/>
      <c r="L5" s="15"/>
      <c r="M5" s="50"/>
    </row>
    <row r="6" spans="1:13" x14ac:dyDescent="0.35">
      <c r="B6" s="18" t="s">
        <v>55</v>
      </c>
      <c r="C6" s="64">
        <v>1360500000</v>
      </c>
      <c r="D6" s="64">
        <v>618166000</v>
      </c>
      <c r="E6" s="54">
        <f t="shared" si="0"/>
        <v>1978666000</v>
      </c>
      <c r="K6" s="15"/>
      <c r="L6" s="15"/>
      <c r="M6" s="50"/>
    </row>
    <row r="7" spans="1:13" x14ac:dyDescent="0.35">
      <c r="B7" s="18" t="s">
        <v>56</v>
      </c>
      <c r="C7" s="64">
        <v>115300000</v>
      </c>
      <c r="D7" s="64">
        <v>754572000</v>
      </c>
      <c r="E7" s="54">
        <f t="shared" si="0"/>
        <v>869872000</v>
      </c>
      <c r="K7" s="15"/>
      <c r="L7" s="15"/>
      <c r="M7" s="50"/>
    </row>
    <row r="8" spans="1:13" x14ac:dyDescent="0.35">
      <c r="B8" s="18" t="s">
        <v>57</v>
      </c>
      <c r="C8" s="64">
        <v>47250000</v>
      </c>
      <c r="D8" s="64">
        <v>306824000</v>
      </c>
      <c r="E8" s="54">
        <f t="shared" si="0"/>
        <v>354074000</v>
      </c>
      <c r="K8" s="15"/>
      <c r="L8" s="15"/>
      <c r="M8" s="50"/>
    </row>
    <row r="9" spans="1:13" x14ac:dyDescent="0.35">
      <c r="B9" s="18" t="s">
        <v>5</v>
      </c>
      <c r="C9" s="64">
        <v>15261487386</v>
      </c>
      <c r="D9" s="64">
        <v>43533694773</v>
      </c>
      <c r="E9" s="54">
        <f t="shared" si="0"/>
        <v>58795182159</v>
      </c>
      <c r="K9" s="15"/>
      <c r="L9" s="15"/>
      <c r="M9" s="50"/>
    </row>
    <row r="10" spans="1:13" x14ac:dyDescent="0.35">
      <c r="B10" s="18" t="s">
        <v>58</v>
      </c>
      <c r="C10" s="64">
        <v>46098603</v>
      </c>
      <c r="D10" s="64">
        <v>450000000</v>
      </c>
      <c r="E10" s="54">
        <f t="shared" si="0"/>
        <v>496098603</v>
      </c>
      <c r="K10" s="15"/>
      <c r="L10" s="15"/>
      <c r="M10" s="50"/>
    </row>
    <row r="11" spans="1:13" x14ac:dyDescent="0.35">
      <c r="B11" s="19" t="s">
        <v>59</v>
      </c>
      <c r="C11" s="65">
        <v>0</v>
      </c>
      <c r="D11" s="65">
        <v>0</v>
      </c>
      <c r="E11" s="54">
        <f t="shared" si="0"/>
        <v>0</v>
      </c>
      <c r="K11" s="15"/>
      <c r="L11" s="15"/>
      <c r="M11" s="50"/>
    </row>
    <row r="12" spans="1:13" x14ac:dyDescent="0.35">
      <c r="B12" s="19"/>
      <c r="C12" s="20">
        <f>SUM(C3:C11)</f>
        <v>71075000000</v>
      </c>
      <c r="D12" s="20">
        <f t="shared" ref="D12:E12" si="1">SUM(D3:D11)</f>
        <v>106090000000</v>
      </c>
      <c r="E12" s="20">
        <f t="shared" si="1"/>
        <v>177165000000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C4" sqref="C4:E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28 February 2025</v>
      </c>
    </row>
    <row r="3" spans="1:5" ht="13" x14ac:dyDescent="0.3">
      <c r="B3" s="18" t="s">
        <v>40</v>
      </c>
      <c r="C3" s="22" t="s">
        <v>75</v>
      </c>
      <c r="D3" s="43" t="s">
        <v>79</v>
      </c>
      <c r="E3" s="43" t="s">
        <v>70</v>
      </c>
    </row>
    <row r="4" spans="1:5" ht="13" x14ac:dyDescent="0.3">
      <c r="B4" s="18" t="s">
        <v>53</v>
      </c>
      <c r="C4" s="67">
        <v>3.0223568202602884E-3</v>
      </c>
      <c r="D4" s="70">
        <v>5.140635309642756E-3</v>
      </c>
      <c r="E4" s="69">
        <v>4.2908249992944427E-3</v>
      </c>
    </row>
    <row r="5" spans="1:5" ht="13" x14ac:dyDescent="0.3">
      <c r="B5" s="18" t="s">
        <v>71</v>
      </c>
      <c r="C5" s="67">
        <v>0.74017164966584592</v>
      </c>
      <c r="D5" s="70">
        <v>0.50087717246677355</v>
      </c>
      <c r="E5" s="69">
        <v>0.59687725694691385</v>
      </c>
    </row>
    <row r="6" spans="1:5" ht="13" x14ac:dyDescent="0.3">
      <c r="B6" s="18" t="s">
        <v>54</v>
      </c>
      <c r="C6" s="67">
        <v>2.0004924375659514E-2</v>
      </c>
      <c r="D6" s="70">
        <v>6.3562201904043741E-2</v>
      </c>
      <c r="E6" s="69">
        <v>4.6087906753591285E-2</v>
      </c>
    </row>
    <row r="7" spans="1:5" ht="13" x14ac:dyDescent="0.3">
      <c r="B7" s="18" t="s">
        <v>55</v>
      </c>
      <c r="C7" s="67">
        <v>1.9141751670770313E-2</v>
      </c>
      <c r="D7" s="70">
        <v>5.8268074276557639E-3</v>
      </c>
      <c r="E7" s="69">
        <v>1.1168492648096407E-2</v>
      </c>
    </row>
    <row r="8" spans="1:5" ht="13" x14ac:dyDescent="0.3">
      <c r="B8" s="18" t="s">
        <v>56</v>
      </c>
      <c r="C8" s="67">
        <v>1.622230038691523E-3</v>
      </c>
      <c r="D8" s="70">
        <v>7.1125648034687534E-3</v>
      </c>
      <c r="E8" s="69">
        <v>4.9099539976857733E-3</v>
      </c>
    </row>
    <row r="9" spans="1:5" ht="13" x14ac:dyDescent="0.3">
      <c r="B9" s="18" t="s">
        <v>57</v>
      </c>
      <c r="C9" s="67">
        <v>6.6479071403447061E-4</v>
      </c>
      <c r="D9" s="70">
        <v>2.8921104722405503E-3</v>
      </c>
      <c r="E9" s="69">
        <v>1.998555019332261E-3</v>
      </c>
    </row>
    <row r="10" spans="1:5" ht="13" x14ac:dyDescent="0.3">
      <c r="B10" s="18" t="s">
        <v>5</v>
      </c>
      <c r="C10" s="67">
        <v>0.21472370574744987</v>
      </c>
      <c r="D10" s="70">
        <v>0.41034682602507305</v>
      </c>
      <c r="E10" s="69">
        <v>0.33186680303107274</v>
      </c>
    </row>
    <row r="11" spans="1:5" ht="13" x14ac:dyDescent="0.3">
      <c r="B11" s="18" t="s">
        <v>58</v>
      </c>
      <c r="C11" s="67">
        <v>6.4859096728807602E-4</v>
      </c>
      <c r="D11" s="70">
        <v>4.2416815911018946E-3</v>
      </c>
      <c r="E11" s="69">
        <v>2.8002066040132079E-3</v>
      </c>
    </row>
    <row r="12" spans="1:5" ht="13" x14ac:dyDescent="0.3">
      <c r="B12" s="18" t="s">
        <v>59</v>
      </c>
      <c r="C12" s="67">
        <v>0</v>
      </c>
      <c r="D12" s="70">
        <v>0</v>
      </c>
      <c r="E12" s="69">
        <v>0</v>
      </c>
    </row>
    <row r="13" spans="1:5" ht="13" x14ac:dyDescent="0.3">
      <c r="B13" s="23"/>
      <c r="C13" s="21">
        <f>SUM(C4:C12)</f>
        <v>1</v>
      </c>
      <c r="D13" s="21">
        <f t="shared" ref="D13:E13" si="0">SUM(D4:D12)</f>
        <v>1</v>
      </c>
      <c r="E13" s="21">
        <f t="shared" si="0"/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3" sqref="C3:F11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28 February 2025</v>
      </c>
    </row>
    <row r="2" spans="1:7" x14ac:dyDescent="0.35">
      <c r="B2" s="18" t="s">
        <v>40</v>
      </c>
      <c r="C2" s="18" t="s">
        <v>84</v>
      </c>
      <c r="D2" s="53" t="s">
        <v>85</v>
      </c>
      <c r="E2" s="53" t="s">
        <v>86</v>
      </c>
      <c r="F2" s="53" t="s">
        <v>87</v>
      </c>
      <c r="G2" s="18" t="s">
        <v>52</v>
      </c>
    </row>
    <row r="3" spans="1:7" x14ac:dyDescent="0.35">
      <c r="B3" s="18" t="s">
        <v>53</v>
      </c>
      <c r="C3" s="64">
        <v>0</v>
      </c>
      <c r="D3" s="64">
        <v>0</v>
      </c>
      <c r="E3" s="64">
        <v>0</v>
      </c>
      <c r="F3" s="64">
        <v>0</v>
      </c>
      <c r="G3" s="53">
        <f t="shared" ref="G3:G11" si="0">SUM(C3:F3)</f>
        <v>0</v>
      </c>
    </row>
    <row r="4" spans="1:7" x14ac:dyDescent="0.35">
      <c r="B4" s="18" t="s">
        <v>71</v>
      </c>
      <c r="C4" s="64">
        <v>5863785000</v>
      </c>
      <c r="D4" s="64">
        <v>7877000000</v>
      </c>
      <c r="E4" s="64">
        <v>1240000000</v>
      </c>
      <c r="F4" s="64">
        <v>621000000</v>
      </c>
      <c r="G4" s="53">
        <f t="shared" si="0"/>
        <v>15601785000</v>
      </c>
    </row>
    <row r="5" spans="1:7" x14ac:dyDescent="0.35">
      <c r="B5" s="18" t="s">
        <v>54</v>
      </c>
      <c r="C5" s="64">
        <v>28500000</v>
      </c>
      <c r="D5" s="64">
        <v>30495000</v>
      </c>
      <c r="E5" s="64">
        <v>30700000</v>
      </c>
      <c r="F5" s="64">
        <v>0</v>
      </c>
      <c r="G5" s="53">
        <f t="shared" si="0"/>
        <v>89695000</v>
      </c>
    </row>
    <row r="6" spans="1:7" x14ac:dyDescent="0.35">
      <c r="B6" s="18" t="s">
        <v>55</v>
      </c>
      <c r="C6" s="64">
        <v>0</v>
      </c>
      <c r="D6" s="64">
        <v>0</v>
      </c>
      <c r="E6" s="64">
        <v>0</v>
      </c>
      <c r="F6" s="64">
        <v>0</v>
      </c>
      <c r="G6" s="53">
        <f t="shared" si="0"/>
        <v>0</v>
      </c>
    </row>
    <row r="7" spans="1:7" x14ac:dyDescent="0.35">
      <c r="B7" s="18" t="s">
        <v>56</v>
      </c>
      <c r="C7" s="64">
        <v>0</v>
      </c>
      <c r="D7" s="64">
        <v>9597459</v>
      </c>
      <c r="E7" s="64">
        <v>9592090</v>
      </c>
      <c r="F7" s="64">
        <v>0</v>
      </c>
      <c r="G7" s="53">
        <f t="shared" si="0"/>
        <v>19189549</v>
      </c>
    </row>
    <row r="8" spans="1:7" x14ac:dyDescent="0.35">
      <c r="B8" s="18" t="s">
        <v>57</v>
      </c>
      <c r="C8" s="64">
        <v>35000000</v>
      </c>
      <c r="D8" s="64">
        <v>40000000</v>
      </c>
      <c r="E8" s="64">
        <v>97000000</v>
      </c>
      <c r="F8" s="64">
        <v>138000000</v>
      </c>
      <c r="G8" s="53">
        <f t="shared" si="0"/>
        <v>310000000</v>
      </c>
    </row>
    <row r="9" spans="1:7" x14ac:dyDescent="0.35">
      <c r="B9" s="18" t="s">
        <v>5</v>
      </c>
      <c r="C9" s="64">
        <v>1562715000</v>
      </c>
      <c r="D9" s="64">
        <v>876866618</v>
      </c>
      <c r="E9" s="64">
        <v>1096617910</v>
      </c>
      <c r="F9" s="64">
        <v>783000000</v>
      </c>
      <c r="G9" s="53">
        <f t="shared" si="0"/>
        <v>4319199528</v>
      </c>
    </row>
    <row r="10" spans="1:7" x14ac:dyDescent="0.35">
      <c r="B10" s="18" t="s">
        <v>58</v>
      </c>
      <c r="C10" s="64">
        <v>0</v>
      </c>
      <c r="D10" s="64">
        <v>32040923</v>
      </c>
      <c r="E10" s="64">
        <v>5090000</v>
      </c>
      <c r="F10" s="64">
        <v>9000000</v>
      </c>
      <c r="G10" s="53">
        <f t="shared" si="0"/>
        <v>46130923</v>
      </c>
    </row>
    <row r="11" spans="1:7" x14ac:dyDescent="0.35">
      <c r="B11" s="19" t="s">
        <v>59</v>
      </c>
      <c r="C11" s="65">
        <v>0</v>
      </c>
      <c r="D11" s="65">
        <v>0</v>
      </c>
      <c r="E11" s="65">
        <v>0</v>
      </c>
      <c r="F11" s="65">
        <v>0</v>
      </c>
      <c r="G11" s="53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F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F19" sqref="F19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28 February 2025</v>
      </c>
    </row>
    <row r="2" spans="1:7" x14ac:dyDescent="0.35">
      <c r="B2" s="18" t="s">
        <v>40</v>
      </c>
      <c r="C2" s="22" t="s">
        <v>84</v>
      </c>
      <c r="D2" s="43" t="s">
        <v>85</v>
      </c>
      <c r="E2" s="43" t="s">
        <v>86</v>
      </c>
      <c r="F2" s="43" t="s">
        <v>87</v>
      </c>
      <c r="G2" s="22" t="s">
        <v>70</v>
      </c>
    </row>
    <row r="3" spans="1:7" x14ac:dyDescent="0.35">
      <c r="B3" s="18" t="s">
        <v>53</v>
      </c>
      <c r="C3" s="67">
        <v>0</v>
      </c>
      <c r="D3" s="67">
        <v>0</v>
      </c>
      <c r="E3" s="67">
        <v>0</v>
      </c>
      <c r="F3" s="67">
        <v>0</v>
      </c>
      <c r="G3" s="69">
        <v>0</v>
      </c>
    </row>
    <row r="4" spans="1:7" x14ac:dyDescent="0.35">
      <c r="B4" s="18" t="s">
        <v>71</v>
      </c>
      <c r="C4" s="67">
        <v>0.78288184245660886</v>
      </c>
      <c r="D4" s="67">
        <v>0.88845025941800138</v>
      </c>
      <c r="E4" s="67">
        <v>0.50020169423154492</v>
      </c>
      <c r="F4" s="67">
        <v>0.40038684719535783</v>
      </c>
      <c r="G4" s="69">
        <v>0.76531860100068672</v>
      </c>
    </row>
    <row r="5" spans="1:7" x14ac:dyDescent="0.35">
      <c r="B5" s="18" t="s">
        <v>54</v>
      </c>
      <c r="C5" s="67">
        <v>3.8050734312416556E-3</v>
      </c>
      <c r="D5" s="67">
        <v>3.439544326641101E-3</v>
      </c>
      <c r="E5" s="67">
        <v>1.2384025816861637E-2</v>
      </c>
      <c r="F5" s="67">
        <v>0</v>
      </c>
      <c r="G5" s="69">
        <v>4.3998332188756994E-3</v>
      </c>
    </row>
    <row r="6" spans="1:7" x14ac:dyDescent="0.35">
      <c r="B6" s="18" t="s">
        <v>55</v>
      </c>
      <c r="C6" s="67">
        <v>0</v>
      </c>
      <c r="D6" s="67">
        <v>0</v>
      </c>
      <c r="E6" s="67">
        <v>0</v>
      </c>
      <c r="F6" s="67">
        <v>0</v>
      </c>
      <c r="G6" s="69">
        <v>0</v>
      </c>
    </row>
    <row r="7" spans="1:7" x14ac:dyDescent="0.35">
      <c r="B7" s="18" t="s">
        <v>56</v>
      </c>
      <c r="C7" s="67">
        <v>0</v>
      </c>
      <c r="D7" s="67">
        <v>1.0825015790660952E-3</v>
      </c>
      <c r="E7" s="67">
        <v>3.8693384429205327E-3</v>
      </c>
      <c r="F7" s="67">
        <v>0</v>
      </c>
      <c r="G7" s="69">
        <v>9.4131016383792803E-4</v>
      </c>
    </row>
    <row r="8" spans="1:7" x14ac:dyDescent="0.35">
      <c r="B8" s="18" t="s">
        <v>57</v>
      </c>
      <c r="C8" s="67">
        <v>4.6728971962616819E-3</v>
      </c>
      <c r="D8" s="67">
        <v>4.5116174148432213E-3</v>
      </c>
      <c r="E8" s="67">
        <v>3.9128680919725697E-2</v>
      </c>
      <c r="F8" s="67">
        <v>8.8974854932301742E-2</v>
      </c>
      <c r="G8" s="69">
        <v>1.5206514274502109E-2</v>
      </c>
    </row>
    <row r="9" spans="1:7" x14ac:dyDescent="0.35">
      <c r="B9" s="18" t="s">
        <v>5</v>
      </c>
      <c r="C9" s="67">
        <v>0.20864018691588784</v>
      </c>
      <c r="D9" s="67">
        <v>9.890216760658696E-2</v>
      </c>
      <c r="E9" s="67">
        <v>0.44236301331181926</v>
      </c>
      <c r="F9" s="67">
        <v>0.50483558994197297</v>
      </c>
      <c r="G9" s="69">
        <v>0.21187086863533797</v>
      </c>
    </row>
    <row r="10" spans="1:7" x14ac:dyDescent="0.35">
      <c r="B10" s="18" t="s">
        <v>58</v>
      </c>
      <c r="C10" s="67">
        <v>0</v>
      </c>
      <c r="D10" s="67">
        <v>3.6139096548612679E-3</v>
      </c>
      <c r="E10" s="67">
        <v>2.0532472771278743E-3</v>
      </c>
      <c r="F10" s="67">
        <v>5.8027079303675051E-3</v>
      </c>
      <c r="G10" s="69">
        <v>2.2628727067595411E-3</v>
      </c>
    </row>
    <row r="11" spans="1:7" x14ac:dyDescent="0.35">
      <c r="B11" s="18" t="s">
        <v>59</v>
      </c>
      <c r="C11" s="67">
        <v>0</v>
      </c>
      <c r="D11" s="67">
        <v>0</v>
      </c>
      <c r="E11" s="67">
        <v>0</v>
      </c>
      <c r="F11" s="67">
        <v>0</v>
      </c>
      <c r="G11" s="69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0.99999999999999978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2025-03-18T09:52:24Z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