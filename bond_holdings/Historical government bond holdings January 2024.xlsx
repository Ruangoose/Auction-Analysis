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8_{A89B403B-1FBA-4DF2-8149-695191793A3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12" i="6" s="1"/>
  <c r="E5" i="6"/>
  <c r="E6" i="6"/>
  <c r="E7" i="6"/>
  <c r="E8" i="6"/>
  <c r="E9" i="6"/>
  <c r="E10" i="6"/>
  <c r="E11" i="6"/>
  <c r="E3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6" i="4"/>
  <c r="N7" i="4"/>
  <c r="N8" i="4"/>
  <c r="N9" i="4"/>
  <c r="N10" i="4"/>
  <c r="N11" i="4"/>
  <c r="N3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A1" i="4"/>
  <c r="A1" i="5"/>
  <c r="A1" i="6"/>
  <c r="A1" i="7"/>
  <c r="A1" i="3"/>
  <c r="N12" i="4" l="1"/>
  <c r="O12" i="2"/>
</calcChain>
</file>

<file path=xl/sharedStrings.xml><?xml version="1.0" encoding="utf-8"?>
<sst xmlns="http://schemas.openxmlformats.org/spreadsheetml/2006/main" count="296" uniqueCount="86">
  <si>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</si>
  <si>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</si>
  <si>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</si>
  <si>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</si>
  <si>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</si>
  <si>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</si>
  <si>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</si>
  <si>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</si>
  <si>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</si>
  <si>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</si>
  <si>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</si>
  <si>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</si>
  <si>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</si>
  <si>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</si>
  <si>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</si>
  <si>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</si>
  <si>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</si>
  <si>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</si>
  <si>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</si>
  <si>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</si>
  <si>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</si>
  <si>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</si>
  <si>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</si>
  <si>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</si>
  <si>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</si>
  <si>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</si>
  <si>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</si>
  <si>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</si>
  <si>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</si>
  <si>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</si>
  <si>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</si>
  <si>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</si>
  <si>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</si>
  <si>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</si>
  <si>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</si>
  <si>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</si>
  <si>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</si>
  <si>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</si>
  <si>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</si>
  <si>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</si>
  <si>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</si>
  <si>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</si>
  <si>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</si>
  <si>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</si>
  <si>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</si>
  <si>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</si>
  <si>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</si>
  <si>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</si>
  <si>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</si>
  <si>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</si>
  <si>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</si>
  <si>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</si>
  <si>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</si>
  <si>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</si>
  <si>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</si>
  <si>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</si>
  <si>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</si>
  <si>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</si>
  <si>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</si>
  <si>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</si>
  <si>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</si>
  <si>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</si>
  <si>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</si>
  <si>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</si>
  <si>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</si>
  <si>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</si>
  <si>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</si>
  <si>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</si>
  <si>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</si>
  <si>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</si>
  <si>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</si>
  <si>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</si>
  <si>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</si>
  <si>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</si>
  <si>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</si>
  <si>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</si>
  <si>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</si>
  <si>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</si>
  <si>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</si>
  <si>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</si>
  <si>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</si>
  <si>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</si>
  <si>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</si>
  <si>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</si>
  <si>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</si>
  <si>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26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</si>
</sst>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workbookViewId="0">
      <pane ySplit="1" topLeftCell="A145" activePane="bottomLeft" state="frozen"/>
      <selection pane="bottomLeft" activeCell="I158" sqref="I158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selection activeCell="A2" sqref="A2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85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130820527009.89</v>
      </c>
      <c r="D3" s="51">
        <v>93053057087</v>
      </c>
      <c r="E3" s="51">
        <v>64002390866</v>
      </c>
      <c r="F3" s="51">
        <v>78508297699</v>
      </c>
      <c r="G3" s="51">
        <v>97276392858</v>
      </c>
      <c r="H3" s="51">
        <v>34173066684</v>
      </c>
      <c r="I3" s="51">
        <v>86223727480</v>
      </c>
      <c r="J3" s="51">
        <v>66853926190</v>
      </c>
      <c r="K3" s="51">
        <v>48517748412</v>
      </c>
      <c r="L3" s="51">
        <v>70392390460</v>
      </c>
      <c r="M3" s="51">
        <v>92145606342</v>
      </c>
      <c r="N3" s="50">
        <v>6851864178</v>
      </c>
      <c r="O3" s="60">
        <f>SUM(C3:N3)</f>
        <v>868818995265.89001</v>
      </c>
      <c r="P3" s="55"/>
    </row>
    <row r="4" spans="1:16" x14ac:dyDescent="0.35">
      <c r="B4" s="18" t="s">
        <v>72</v>
      </c>
      <c r="C4" s="51">
        <v>106256466389.64999</v>
      </c>
      <c r="D4" s="51">
        <v>92594210584.529999</v>
      </c>
      <c r="E4" s="51">
        <v>47665229072</v>
      </c>
      <c r="F4" s="51">
        <v>68041176025.199997</v>
      </c>
      <c r="G4" s="51">
        <v>29369988577.799999</v>
      </c>
      <c r="H4" s="51">
        <v>13247732795</v>
      </c>
      <c r="I4" s="51">
        <v>33799621913.689999</v>
      </c>
      <c r="J4" s="51">
        <v>35682120579</v>
      </c>
      <c r="K4" s="51">
        <v>13401993749</v>
      </c>
      <c r="L4" s="51">
        <v>28858262449.099998</v>
      </c>
      <c r="M4" s="51">
        <v>125070983556.58</v>
      </c>
      <c r="N4" s="50">
        <v>4881127227</v>
      </c>
      <c r="O4" s="60">
        <f t="shared" ref="O4:O11" si="0">SUM(C4:N4)</f>
        <v>598868912918.54993</v>
      </c>
    </row>
    <row r="5" spans="1:16" x14ac:dyDescent="0.35">
      <c r="B5" s="18" t="s">
        <v>54</v>
      </c>
      <c r="C5" s="51">
        <v>17341297516.900002</v>
      </c>
      <c r="D5" s="51">
        <v>13281516969</v>
      </c>
      <c r="E5" s="51">
        <v>7779937384</v>
      </c>
      <c r="F5" s="51">
        <v>16191002115</v>
      </c>
      <c r="G5" s="51">
        <v>20057744865</v>
      </c>
      <c r="H5" s="51">
        <v>7101026272</v>
      </c>
      <c r="I5" s="51">
        <v>19850426399</v>
      </c>
      <c r="J5" s="51">
        <v>21208470565</v>
      </c>
      <c r="K5" s="51">
        <v>5539307231</v>
      </c>
      <c r="L5" s="51">
        <v>18518749230</v>
      </c>
      <c r="M5" s="51">
        <v>22996846101</v>
      </c>
      <c r="N5" s="50">
        <v>8808749202</v>
      </c>
      <c r="O5" s="60">
        <f t="shared" si="0"/>
        <v>178675073849.89999</v>
      </c>
    </row>
    <row r="6" spans="1:16" x14ac:dyDescent="0.35">
      <c r="B6" s="18" t="s">
        <v>55</v>
      </c>
      <c r="C6" s="51">
        <v>2405247765</v>
      </c>
      <c r="D6" s="51">
        <v>3891462374</v>
      </c>
      <c r="E6" s="51">
        <v>1511719834</v>
      </c>
      <c r="F6" s="51">
        <v>3344444450</v>
      </c>
      <c r="G6" s="51">
        <v>3324172671</v>
      </c>
      <c r="H6" s="51">
        <v>638210955</v>
      </c>
      <c r="I6" s="51">
        <v>3139365839</v>
      </c>
      <c r="J6" s="51">
        <v>1863634700</v>
      </c>
      <c r="K6" s="51">
        <v>387963315</v>
      </c>
      <c r="L6" s="51">
        <v>1603993196</v>
      </c>
      <c r="M6" s="51">
        <v>3680376362</v>
      </c>
      <c r="N6" s="50">
        <v>44785000</v>
      </c>
      <c r="O6" s="60">
        <f t="shared" si="0"/>
        <v>25835376461</v>
      </c>
    </row>
    <row r="7" spans="1:16" x14ac:dyDescent="0.35">
      <c r="B7" s="18" t="s">
        <v>56</v>
      </c>
      <c r="C7" s="51">
        <v>2843294988.73</v>
      </c>
      <c r="D7" s="51">
        <v>6095311872</v>
      </c>
      <c r="E7" s="51">
        <v>3681628219</v>
      </c>
      <c r="F7" s="51">
        <v>10930677655</v>
      </c>
      <c r="G7" s="51">
        <v>10757855047</v>
      </c>
      <c r="H7" s="51">
        <v>4343530502</v>
      </c>
      <c r="I7" s="51">
        <v>8424453761</v>
      </c>
      <c r="J7" s="51">
        <v>7649528396</v>
      </c>
      <c r="K7" s="51">
        <v>1557791680</v>
      </c>
      <c r="L7" s="51">
        <v>8249128823</v>
      </c>
      <c r="M7" s="51">
        <v>8885203501</v>
      </c>
      <c r="N7" s="50">
        <v>713388677</v>
      </c>
      <c r="O7" s="60">
        <f t="shared" si="0"/>
        <v>74131793121.729996</v>
      </c>
    </row>
    <row r="8" spans="1:16" x14ac:dyDescent="0.35">
      <c r="B8" s="18" t="s">
        <v>57</v>
      </c>
      <c r="C8" s="51">
        <v>29769339466.510002</v>
      </c>
      <c r="D8" s="51">
        <v>50405871077</v>
      </c>
      <c r="E8" s="51">
        <v>18813404290</v>
      </c>
      <c r="F8" s="51">
        <v>44219712387</v>
      </c>
      <c r="G8" s="51">
        <v>39518884318</v>
      </c>
      <c r="H8" s="51">
        <v>15302166794</v>
      </c>
      <c r="I8" s="51">
        <v>55525062443</v>
      </c>
      <c r="J8" s="51">
        <v>37746880855</v>
      </c>
      <c r="K8" s="51">
        <v>8245958783</v>
      </c>
      <c r="L8" s="51">
        <v>49171794582</v>
      </c>
      <c r="M8" s="51">
        <v>63578152564</v>
      </c>
      <c r="N8" s="50">
        <v>496648289</v>
      </c>
      <c r="O8" s="60">
        <f t="shared" si="0"/>
        <v>412793875848.51001</v>
      </c>
    </row>
    <row r="9" spans="1:16" x14ac:dyDescent="0.35">
      <c r="B9" s="18" t="s">
        <v>5</v>
      </c>
      <c r="C9" s="51">
        <v>67863035456.759995</v>
      </c>
      <c r="D9" s="51">
        <v>84064310306.470001</v>
      </c>
      <c r="E9" s="51">
        <v>42582261019</v>
      </c>
      <c r="F9" s="51">
        <v>81875837912</v>
      </c>
      <c r="G9" s="51">
        <v>91242691585.199997</v>
      </c>
      <c r="H9" s="51">
        <v>24308801265</v>
      </c>
      <c r="I9" s="51">
        <v>69786590514</v>
      </c>
      <c r="J9" s="51">
        <v>55502741989</v>
      </c>
      <c r="K9" s="51">
        <v>14190078081</v>
      </c>
      <c r="L9" s="51">
        <v>71922027543</v>
      </c>
      <c r="M9" s="51">
        <v>74057661178.419998</v>
      </c>
      <c r="N9" s="50">
        <v>12664427211</v>
      </c>
      <c r="O9" s="60">
        <f t="shared" si="0"/>
        <v>690060464060.84998</v>
      </c>
    </row>
    <row r="10" spans="1:16" x14ac:dyDescent="0.35">
      <c r="B10" s="18" t="s">
        <v>58</v>
      </c>
      <c r="C10" s="51">
        <v>14882360164.450001</v>
      </c>
      <c r="D10" s="51">
        <v>13531276728</v>
      </c>
      <c r="E10" s="51">
        <v>1909090560</v>
      </c>
      <c r="F10" s="51">
        <v>7041186128.8000002</v>
      </c>
      <c r="G10" s="51">
        <v>8884183074</v>
      </c>
      <c r="H10" s="51">
        <v>5144016878</v>
      </c>
      <c r="I10" s="51">
        <v>4613100379.3099995</v>
      </c>
      <c r="J10" s="51">
        <v>5648562377</v>
      </c>
      <c r="K10" s="51">
        <v>1541015245</v>
      </c>
      <c r="L10" s="51">
        <v>2213284657.9000001</v>
      </c>
      <c r="M10" s="51">
        <v>1641438941</v>
      </c>
      <c r="N10" s="50">
        <v>276266077</v>
      </c>
      <c r="O10" s="60">
        <f t="shared" si="0"/>
        <v>67325781210.459999</v>
      </c>
    </row>
    <row r="11" spans="1:16" x14ac:dyDescent="0.35">
      <c r="A11" s="17"/>
      <c r="B11" s="19" t="s">
        <v>59</v>
      </c>
      <c r="C11" s="52">
        <v>468187481</v>
      </c>
      <c r="D11" s="52">
        <v>136643033</v>
      </c>
      <c r="E11" s="52">
        <v>251500000</v>
      </c>
      <c r="F11" s="52">
        <v>10570000</v>
      </c>
      <c r="G11" s="52">
        <v>346958440</v>
      </c>
      <c r="H11" s="52">
        <v>4000000</v>
      </c>
      <c r="I11" s="52">
        <v>1618300</v>
      </c>
      <c r="J11" s="52">
        <v>14482150</v>
      </c>
      <c r="K11" s="52">
        <v>0</v>
      </c>
      <c r="L11" s="52">
        <v>6880000</v>
      </c>
      <c r="M11" s="52">
        <v>272400000</v>
      </c>
      <c r="N11" s="50">
        <v>0</v>
      </c>
      <c r="O11" s="60">
        <f t="shared" si="0"/>
        <v>1513239404</v>
      </c>
    </row>
    <row r="12" spans="1:16" x14ac:dyDescent="0.35">
      <c r="B12" s="19"/>
      <c r="C12" s="20">
        <f>SUM(C3:C11)</f>
        <v>372649756238.89001</v>
      </c>
      <c r="D12" s="20">
        <f t="shared" ref="D12:O12" si="1">SUM(D3:D11)</f>
        <v>357053660031</v>
      </c>
      <c r="E12" s="20">
        <f t="shared" si="1"/>
        <v>188197161244</v>
      </c>
      <c r="F12" s="20">
        <f t="shared" si="1"/>
        <v>310162904372</v>
      </c>
      <c r="G12" s="20">
        <f t="shared" si="1"/>
        <v>300778871436</v>
      </c>
      <c r="H12" s="20">
        <f t="shared" si="1"/>
        <v>104262552145</v>
      </c>
      <c r="I12" s="20">
        <f t="shared" si="1"/>
        <v>281363967029</v>
      </c>
      <c r="J12" s="20">
        <f t="shared" si="1"/>
        <v>232170347801</v>
      </c>
      <c r="K12" s="20">
        <f t="shared" si="1"/>
        <v>93381856496</v>
      </c>
      <c r="L12" s="20">
        <f t="shared" si="1"/>
        <v>250936510941</v>
      </c>
      <c r="M12" s="20">
        <f t="shared" si="1"/>
        <v>392328668546</v>
      </c>
      <c r="N12" s="20">
        <f t="shared" si="1"/>
        <v>34737255861</v>
      </c>
      <c r="O12" s="20">
        <f t="shared" si="1"/>
        <v>2918023512140.8896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activeCell="C12" sqref="C12:O12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26 January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0.35105491099805386</v>
      </c>
      <c r="D3" s="58">
        <v>0.2606136486009441</v>
      </c>
      <c r="E3" s="58">
        <v>0.34008159550834083</v>
      </c>
      <c r="F3" s="58">
        <v>0.25311955940688358</v>
      </c>
      <c r="G3" s="58">
        <v>0.32341498055889395</v>
      </c>
      <c r="H3" s="58">
        <v>0.32775973713433409</v>
      </c>
      <c r="I3" s="58">
        <v>0.306449075162183</v>
      </c>
      <c r="J3" s="58">
        <v>0.28795204393328666</v>
      </c>
      <c r="K3" s="58">
        <v>0.51956290260815552</v>
      </c>
      <c r="L3" s="58">
        <v>0.28051872641423076</v>
      </c>
      <c r="M3" s="58">
        <v>0.23486839920085029</v>
      </c>
      <c r="N3" s="58">
        <v>0.19724828597335126</v>
      </c>
      <c r="O3" s="58">
        <v>0.297742287425387</v>
      </c>
    </row>
    <row r="4" spans="1:15" x14ac:dyDescent="0.35">
      <c r="B4" s="47" t="s">
        <v>72</v>
      </c>
      <c r="C4" s="58">
        <v>0.28513762483594235</v>
      </c>
      <c r="D4" s="58">
        <v>0.25932855744005207</v>
      </c>
      <c r="E4" s="58">
        <v>0.25327283768218706</v>
      </c>
      <c r="F4" s="58">
        <v>0.21937238485358479</v>
      </c>
      <c r="G4" s="58">
        <v>9.7646448494136909E-2</v>
      </c>
      <c r="H4" s="58">
        <v>0.12706127485327728</v>
      </c>
      <c r="I4" s="58">
        <v>0.12012775576982924</v>
      </c>
      <c r="J4" s="58">
        <v>0.15368939624272859</v>
      </c>
      <c r="K4" s="58">
        <v>0.14351817635553296</v>
      </c>
      <c r="L4" s="58">
        <v>0.11500224634861976</v>
      </c>
      <c r="M4" s="58">
        <v>0.31879134405370529</v>
      </c>
      <c r="N4" s="59">
        <v>0.14051562525640113</v>
      </c>
      <c r="O4" s="59">
        <v>0.2052310101090217</v>
      </c>
    </row>
    <row r="5" spans="1:15" x14ac:dyDescent="0.35">
      <c r="B5" s="47" t="s">
        <v>54</v>
      </c>
      <c r="C5" s="58">
        <v>4.6535110318932364E-2</v>
      </c>
      <c r="D5" s="58">
        <v>3.7197537669399261E-2</v>
      </c>
      <c r="E5" s="58">
        <v>4.1339291903097375E-2</v>
      </c>
      <c r="F5" s="58">
        <v>5.2201607241789953E-2</v>
      </c>
      <c r="G5" s="58">
        <v>6.6686016771187684E-2</v>
      </c>
      <c r="H5" s="58">
        <v>6.8107159530532702E-2</v>
      </c>
      <c r="I5" s="58">
        <v>7.0550705581123793E-2</v>
      </c>
      <c r="J5" s="58">
        <v>9.1348747873601852E-2</v>
      </c>
      <c r="K5" s="58">
        <v>5.9318880978097448E-2</v>
      </c>
      <c r="L5" s="58">
        <v>7.3798544343170985E-2</v>
      </c>
      <c r="M5" s="58">
        <v>5.8616277485476827E-2</v>
      </c>
      <c r="N5" s="59">
        <v>0.25358218384457087</v>
      </c>
      <c r="O5" s="59">
        <v>6.1231540152604881E-2</v>
      </c>
    </row>
    <row r="6" spans="1:15" x14ac:dyDescent="0.35">
      <c r="B6" s="47" t="s">
        <v>55</v>
      </c>
      <c r="C6" s="58">
        <v>6.4544460977940298E-3</v>
      </c>
      <c r="D6" s="58">
        <v>1.0898816647509331E-2</v>
      </c>
      <c r="E6" s="58">
        <v>8.0326388772678468E-3</v>
      </c>
      <c r="F6" s="58">
        <v>1.078286411062483E-2</v>
      </c>
      <c r="G6" s="58">
        <v>1.1051882251999608E-2</v>
      </c>
      <c r="H6" s="58">
        <v>6.1211906084212035E-3</v>
      </c>
      <c r="I6" s="58">
        <v>1.1157668382875862E-2</v>
      </c>
      <c r="J6" s="58">
        <v>8.0270142920980409E-3</v>
      </c>
      <c r="K6" s="58">
        <v>4.1545898695708452E-3</v>
      </c>
      <c r="L6" s="58">
        <v>6.3920279674930594E-3</v>
      </c>
      <c r="M6" s="58">
        <v>9.380849927790787E-3</v>
      </c>
      <c r="N6" s="59">
        <v>1.2892497950674549E-3</v>
      </c>
      <c r="O6" s="59">
        <v>8.853724568533429E-3</v>
      </c>
    </row>
    <row r="7" spans="1:15" x14ac:dyDescent="0.35">
      <c r="B7" s="47" t="s">
        <v>56</v>
      </c>
      <c r="C7" s="58">
        <v>7.6299392153829394E-3</v>
      </c>
      <c r="D7" s="58">
        <v>1.7071136790673971E-2</v>
      </c>
      <c r="E7" s="58">
        <v>1.9562612924999025E-2</v>
      </c>
      <c r="F7" s="58">
        <v>3.5241731041730499E-2</v>
      </c>
      <c r="G7" s="58">
        <v>3.5766658062247124E-2</v>
      </c>
      <c r="H7" s="58">
        <v>4.1659545183196416E-2</v>
      </c>
      <c r="I7" s="58">
        <v>2.9941480602353382E-2</v>
      </c>
      <c r="J7" s="58">
        <v>3.2947912894357355E-2</v>
      </c>
      <c r="K7" s="58">
        <v>1.6681952345493665E-2</v>
      </c>
      <c r="L7" s="58">
        <v>3.2873370208528679E-2</v>
      </c>
      <c r="M7" s="58">
        <v>2.2647347016289284E-2</v>
      </c>
      <c r="N7" s="59">
        <v>2.0536702146381442E-2</v>
      </c>
      <c r="O7" s="59">
        <v>2.5404796367573177E-2</v>
      </c>
    </row>
    <row r="8" spans="1:15" x14ac:dyDescent="0.35">
      <c r="B8" s="47" t="s">
        <v>57</v>
      </c>
      <c r="C8" s="58">
        <v>7.9885573432191215E-2</v>
      </c>
      <c r="D8" s="58">
        <v>0.14117169691699472</v>
      </c>
      <c r="E8" s="58">
        <v>9.9966461585508107E-2</v>
      </c>
      <c r="F8" s="58">
        <v>0.14256931362096165</v>
      </c>
      <c r="G8" s="58">
        <v>0.13138849856482976</v>
      </c>
      <c r="H8" s="58">
        <v>0.14676570330562189</v>
      </c>
      <c r="I8" s="58">
        <v>0.19734247789190812</v>
      </c>
      <c r="J8" s="58">
        <v>0.16258269504490711</v>
      </c>
      <c r="K8" s="58">
        <v>8.8303650113801438E-2</v>
      </c>
      <c r="L8" s="58">
        <v>0.19595312932983769</v>
      </c>
      <c r="M8" s="58">
        <v>0.16205329271405397</v>
      </c>
      <c r="N8" s="59">
        <v>1.4297280446887399E-2</v>
      </c>
      <c r="O8" s="59">
        <v>0.14146351944424609</v>
      </c>
    </row>
    <row r="9" spans="1:15" x14ac:dyDescent="0.35">
      <c r="B9" s="47" t="s">
        <v>5</v>
      </c>
      <c r="C9" s="58">
        <v>0.18210943203530736</v>
      </c>
      <c r="D9" s="58">
        <v>0.23543887016638171</v>
      </c>
      <c r="E9" s="58">
        <v>0.22626409844615861</v>
      </c>
      <c r="F9" s="58">
        <v>0.26397688684846915</v>
      </c>
      <c r="G9" s="58">
        <v>0.30335472418518833</v>
      </c>
      <c r="H9" s="58">
        <v>0.23314987754369629</v>
      </c>
      <c r="I9" s="58">
        <v>0.24802959401978841</v>
      </c>
      <c r="J9" s="58">
        <v>0.23906042487636286</v>
      </c>
      <c r="K9" s="58">
        <v>0.15195754950114779</v>
      </c>
      <c r="L9" s="58">
        <v>0.28661443993660313</v>
      </c>
      <c r="M9" s="58">
        <v>0.18876433744412138</v>
      </c>
      <c r="N9" s="59">
        <v>0.36457765292907113</v>
      </c>
      <c r="O9" s="59">
        <v>0.2364821466275876</v>
      </c>
    </row>
    <row r="10" spans="1:15" x14ac:dyDescent="0.35">
      <c r="B10" s="47" t="s">
        <v>58</v>
      </c>
      <c r="C10" s="58">
        <v>3.9936589023043798E-2</v>
      </c>
      <c r="D10" s="58">
        <v>3.7897039696568838E-2</v>
      </c>
      <c r="E10" s="58">
        <v>1.0144098600535424E-2</v>
      </c>
      <c r="F10" s="58">
        <v>2.2701574010136991E-2</v>
      </c>
      <c r="G10" s="58">
        <v>2.9537257825273756E-2</v>
      </c>
      <c r="H10" s="58">
        <v>4.9337147155635648E-2</v>
      </c>
      <c r="I10" s="58">
        <v>1.6395490965033666E-2</v>
      </c>
      <c r="J10" s="58">
        <v>2.4329387583299604E-2</v>
      </c>
      <c r="K10" s="58">
        <v>1.650229822820035E-2</v>
      </c>
      <c r="L10" s="58">
        <v>8.8200981578977402E-3</v>
      </c>
      <c r="M10" s="58">
        <v>4.1838363407988967E-3</v>
      </c>
      <c r="N10" s="59">
        <v>7.9530196082692808E-3</v>
      </c>
      <c r="O10" s="59">
        <v>2.3072391613823753E-2</v>
      </c>
    </row>
    <row r="11" spans="1:15" x14ac:dyDescent="0.35">
      <c r="B11" s="47" t="s">
        <v>59</v>
      </c>
      <c r="C11" s="58">
        <v>1.2563740433520229E-3</v>
      </c>
      <c r="D11" s="58">
        <v>3.8269607147602526E-4</v>
      </c>
      <c r="E11" s="58">
        <v>1.3363644719057534E-3</v>
      </c>
      <c r="F11" s="58">
        <v>3.4078865818597903E-5</v>
      </c>
      <c r="G11" s="58">
        <v>1.1535332862429007E-3</v>
      </c>
      <c r="H11" s="58">
        <v>3.8364685284483741E-5</v>
      </c>
      <c r="I11" s="58">
        <v>5.7516249045251874E-6</v>
      </c>
      <c r="J11" s="58">
        <v>6.2377259357913675E-5</v>
      </c>
      <c r="K11" s="58">
        <v>0</v>
      </c>
      <c r="L11" s="58">
        <v>2.7417293618215724E-5</v>
      </c>
      <c r="M11" s="58">
        <v>6.9431581691324065E-4</v>
      </c>
      <c r="N11" s="59">
        <v>0</v>
      </c>
      <c r="O11" s="59">
        <v>5.1858369122247735E-4</v>
      </c>
    </row>
    <row r="12" spans="1:15" ht="15" thickBot="1" x14ac:dyDescent="0.4">
      <c r="A12" s="17"/>
      <c r="B12" s="48"/>
      <c r="C12" s="49">
        <f>SUM(C3:C11)</f>
        <v>0.99999999999999967</v>
      </c>
      <c r="D12" s="49">
        <f t="shared" ref="D12:O12" si="0">SUM(D3:D11)</f>
        <v>1</v>
      </c>
      <c r="E12" s="49">
        <f t="shared" si="0"/>
        <v>1</v>
      </c>
      <c r="F12" s="49">
        <f t="shared" si="0"/>
        <v>0.99999999999999989</v>
      </c>
      <c r="G12" s="49">
        <f t="shared" si="0"/>
        <v>1</v>
      </c>
      <c r="H12" s="49">
        <f t="shared" si="0"/>
        <v>1</v>
      </c>
      <c r="I12" s="49">
        <f t="shared" si="0"/>
        <v>1</v>
      </c>
      <c r="J12" s="49">
        <f t="shared" si="0"/>
        <v>1</v>
      </c>
      <c r="K12" s="49">
        <f t="shared" si="0"/>
        <v>1</v>
      </c>
      <c r="L12" s="49">
        <f t="shared" si="0"/>
        <v>1</v>
      </c>
      <c r="M12" s="49">
        <f t="shared" si="0"/>
        <v>0.99999999999999989</v>
      </c>
      <c r="N12" s="49">
        <f t="shared" si="0"/>
        <v>1</v>
      </c>
      <c r="O12" s="49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tabSelected="1" workbookViewId="0">
      <selection activeCell="N3" sqref="N3:N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26 January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1080683612</v>
      </c>
      <c r="D3" s="51">
        <v>477593432</v>
      </c>
      <c r="E3" s="51">
        <v>5679249366</v>
      </c>
      <c r="F3" s="51">
        <v>130800000</v>
      </c>
      <c r="G3" s="51">
        <v>14876239078</v>
      </c>
      <c r="H3" s="51">
        <v>677350118</v>
      </c>
      <c r="I3" s="51">
        <v>3194031812</v>
      </c>
      <c r="J3" s="51">
        <v>0</v>
      </c>
      <c r="K3" s="51">
        <v>5586220101</v>
      </c>
      <c r="L3" s="52">
        <v>2770812384</v>
      </c>
      <c r="M3" s="52">
        <v>25000000</v>
      </c>
      <c r="N3" s="20">
        <f>SUM(C3:M3)</f>
        <v>34497979903</v>
      </c>
    </row>
    <row r="4" spans="1:14" x14ac:dyDescent="0.35">
      <c r="B4" s="18" t="s">
        <v>72</v>
      </c>
      <c r="C4" s="51">
        <v>11650318165</v>
      </c>
      <c r="D4" s="51">
        <v>929199779</v>
      </c>
      <c r="E4" s="51">
        <v>3308505037</v>
      </c>
      <c r="F4" s="51">
        <v>11056201</v>
      </c>
      <c r="G4" s="51">
        <v>1286296368</v>
      </c>
      <c r="H4" s="51">
        <v>5756826430.9700003</v>
      </c>
      <c r="I4" s="51">
        <v>7982660403</v>
      </c>
      <c r="J4" s="51">
        <v>0</v>
      </c>
      <c r="K4" s="51">
        <v>14487548121.99</v>
      </c>
      <c r="L4" s="52">
        <v>14744609083.099998</v>
      </c>
      <c r="M4" s="52">
        <v>121000000</v>
      </c>
      <c r="N4" s="20">
        <f t="shared" ref="N4:N11" si="0">SUM(C4:M4)</f>
        <v>60278019589.059998</v>
      </c>
    </row>
    <row r="5" spans="1:14" x14ac:dyDescent="0.35">
      <c r="B5" s="18" t="s">
        <v>54</v>
      </c>
      <c r="C5" s="51">
        <v>4870912950.3000002</v>
      </c>
      <c r="D5" s="51">
        <v>2323211215</v>
      </c>
      <c r="E5" s="51">
        <v>2898623057</v>
      </c>
      <c r="F5" s="51">
        <v>84200000</v>
      </c>
      <c r="G5" s="51">
        <v>3123409897</v>
      </c>
      <c r="H5" s="51">
        <v>1668144483</v>
      </c>
      <c r="I5" s="51">
        <v>5873608466</v>
      </c>
      <c r="J5" s="51">
        <v>0</v>
      </c>
      <c r="K5" s="51">
        <v>7603700839</v>
      </c>
      <c r="L5" s="52">
        <v>7268508792</v>
      </c>
      <c r="M5" s="52">
        <v>0</v>
      </c>
      <c r="N5" s="20">
        <f t="shared" si="0"/>
        <v>35714319699.300003</v>
      </c>
    </row>
    <row r="6" spans="1:14" x14ac:dyDescent="0.35">
      <c r="B6" s="18" t="s">
        <v>55</v>
      </c>
      <c r="C6" s="51">
        <v>1876181851.7</v>
      </c>
      <c r="D6" s="51">
        <v>368527699</v>
      </c>
      <c r="E6" s="51">
        <v>1261940660</v>
      </c>
      <c r="F6" s="51">
        <v>8000000</v>
      </c>
      <c r="G6" s="51">
        <v>1275968603</v>
      </c>
      <c r="H6" s="51">
        <v>524408608</v>
      </c>
      <c r="I6" s="51">
        <v>1297970098.74</v>
      </c>
      <c r="J6" s="51">
        <v>0</v>
      </c>
      <c r="K6" s="51">
        <v>1233895070</v>
      </c>
      <c r="L6" s="52">
        <v>2213772101.8099999</v>
      </c>
      <c r="M6" s="52">
        <v>0</v>
      </c>
      <c r="N6" s="20">
        <f t="shared" si="0"/>
        <v>10060664692.25</v>
      </c>
    </row>
    <row r="7" spans="1:14" x14ac:dyDescent="0.35">
      <c r="B7" s="18" t="s">
        <v>56</v>
      </c>
      <c r="C7" s="51">
        <v>4388320400</v>
      </c>
      <c r="D7" s="51">
        <v>2260678656.6999998</v>
      </c>
      <c r="E7" s="51">
        <v>4489787434</v>
      </c>
      <c r="F7" s="51">
        <v>27300000</v>
      </c>
      <c r="G7" s="51">
        <v>7479455612</v>
      </c>
      <c r="H7" s="51">
        <v>3101755543.6399999</v>
      </c>
      <c r="I7" s="51">
        <v>10275763263</v>
      </c>
      <c r="J7" s="51">
        <v>0</v>
      </c>
      <c r="K7" s="51">
        <v>12501734099</v>
      </c>
      <c r="L7" s="52">
        <v>20415550243.740002</v>
      </c>
      <c r="M7" s="52">
        <v>119400000</v>
      </c>
      <c r="N7" s="20">
        <f t="shared" si="0"/>
        <v>65059745252.080002</v>
      </c>
    </row>
    <row r="8" spans="1:14" x14ac:dyDescent="0.35">
      <c r="B8" s="18" t="s">
        <v>57</v>
      </c>
      <c r="C8" s="51">
        <v>24720622765</v>
      </c>
      <c r="D8" s="51">
        <v>19712215590</v>
      </c>
      <c r="E8" s="51">
        <v>19059479477</v>
      </c>
      <c r="F8" s="51">
        <v>430000000</v>
      </c>
      <c r="G8" s="51">
        <v>35364023128</v>
      </c>
      <c r="H8" s="51">
        <v>23456426576</v>
      </c>
      <c r="I8" s="51">
        <v>47169753796</v>
      </c>
      <c r="J8" s="51">
        <v>4286000000</v>
      </c>
      <c r="K8" s="51">
        <v>42693326257</v>
      </c>
      <c r="L8" s="52">
        <v>49737425928</v>
      </c>
      <c r="M8" s="52">
        <v>960000000</v>
      </c>
      <c r="N8" s="20">
        <f t="shared" si="0"/>
        <v>267589273517</v>
      </c>
    </row>
    <row r="9" spans="1:14" x14ac:dyDescent="0.35">
      <c r="B9" s="18" t="s">
        <v>5</v>
      </c>
      <c r="C9" s="51">
        <v>18152397338</v>
      </c>
      <c r="D9" s="51">
        <v>5063933381.0699997</v>
      </c>
      <c r="E9" s="51">
        <v>15925543284</v>
      </c>
      <c r="F9" s="51">
        <v>976153994</v>
      </c>
      <c r="G9" s="51">
        <v>12006635968</v>
      </c>
      <c r="H9" s="51">
        <v>2291006561.3899999</v>
      </c>
      <c r="I9" s="51">
        <v>5283155278.2600002</v>
      </c>
      <c r="J9" s="51">
        <v>49720334</v>
      </c>
      <c r="K9" s="51">
        <v>8309585390.0099993</v>
      </c>
      <c r="L9" s="52">
        <v>5452720909.3500004</v>
      </c>
      <c r="M9" s="52">
        <v>246526831</v>
      </c>
      <c r="N9" s="20">
        <f t="shared" si="0"/>
        <v>73757379269.080002</v>
      </c>
    </row>
    <row r="10" spans="1:14" x14ac:dyDescent="0.35">
      <c r="B10" s="18" t="s">
        <v>58</v>
      </c>
      <c r="C10" s="51">
        <v>1170562918</v>
      </c>
      <c r="D10" s="51">
        <v>707157809.23000002</v>
      </c>
      <c r="E10" s="51">
        <v>654294406</v>
      </c>
      <c r="F10" s="51">
        <v>17489805</v>
      </c>
      <c r="G10" s="51">
        <v>1332632659</v>
      </c>
      <c r="H10" s="51">
        <v>465266678</v>
      </c>
      <c r="I10" s="51">
        <v>1383056883</v>
      </c>
      <c r="J10" s="51">
        <v>0</v>
      </c>
      <c r="K10" s="51">
        <v>2658990122</v>
      </c>
      <c r="L10" s="52">
        <v>2826600558</v>
      </c>
      <c r="M10" s="52">
        <v>0</v>
      </c>
      <c r="N10" s="20">
        <f t="shared" si="0"/>
        <v>11216051838.23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300000</v>
      </c>
    </row>
    <row r="12" spans="1:14" x14ac:dyDescent="0.35">
      <c r="A12" s="17"/>
      <c r="B12" s="18"/>
      <c r="C12" s="33">
        <f>SUM(C3:C11)</f>
        <v>67910000000</v>
      </c>
      <c r="D12" s="33">
        <f t="shared" ref="D12:N12" si="1">SUM(D3:D11)</f>
        <v>31842817562</v>
      </c>
      <c r="E12" s="33">
        <f t="shared" si="1"/>
        <v>53277422721</v>
      </c>
      <c r="F12" s="33">
        <f t="shared" si="1"/>
        <v>1685000000</v>
      </c>
      <c r="G12" s="33">
        <f t="shared" si="1"/>
        <v>76744661313</v>
      </c>
      <c r="H12" s="33">
        <f t="shared" si="1"/>
        <v>37941184999</v>
      </c>
      <c r="I12" s="33">
        <f t="shared" si="1"/>
        <v>82460000000</v>
      </c>
      <c r="J12" s="33">
        <f t="shared" si="1"/>
        <v>4335720334</v>
      </c>
      <c r="K12" s="33">
        <f t="shared" si="1"/>
        <v>95074999999.999985</v>
      </c>
      <c r="L12" s="33">
        <f t="shared" si="1"/>
        <v>105430000000</v>
      </c>
      <c r="M12" s="33">
        <f t="shared" si="1"/>
        <v>1471926831</v>
      </c>
      <c r="N12" s="33">
        <f t="shared" si="1"/>
        <v>558173733760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B1" workbookViewId="0">
      <selection activeCell="C12" sqref="C12:N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26 January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1.5913468001767045E-2</v>
      </c>
      <c r="D3" s="53">
        <v>1.4998466485262967E-2</v>
      </c>
      <c r="E3" s="53">
        <v>0.1065976745110354</v>
      </c>
      <c r="F3" s="53">
        <v>7.7626112759643914E-2</v>
      </c>
      <c r="G3" s="53">
        <v>0.19384070270800804</v>
      </c>
      <c r="H3" s="53">
        <v>1.7852634756079774E-2</v>
      </c>
      <c r="I3" s="53">
        <v>3.8734317390249816E-2</v>
      </c>
      <c r="J3" s="53">
        <v>0</v>
      </c>
      <c r="K3" s="53">
        <v>5.8755930591638188E-2</v>
      </c>
      <c r="L3" s="53">
        <v>2.6281062164469318E-2</v>
      </c>
      <c r="M3" s="53">
        <v>1.6984539906114395E-2</v>
      </c>
      <c r="N3" s="53">
        <v>6.1805093676860871E-2</v>
      </c>
    </row>
    <row r="4" spans="1:14" x14ac:dyDescent="0.35">
      <c r="B4" s="18" t="s">
        <v>72</v>
      </c>
      <c r="C4" s="53">
        <v>0.17155526675011043</v>
      </c>
      <c r="D4" s="53">
        <v>2.918082789598592E-2</v>
      </c>
      <c r="E4" s="53">
        <v>6.2099569912114183E-2</v>
      </c>
      <c r="F4" s="53">
        <v>6.5615436201780413E-3</v>
      </c>
      <c r="G4" s="53">
        <v>1.6760727664871595E-2</v>
      </c>
      <c r="H4" s="53">
        <v>0.15173027492741017</v>
      </c>
      <c r="I4" s="53">
        <v>9.6806456500121277E-2</v>
      </c>
      <c r="J4" s="53">
        <v>0</v>
      </c>
      <c r="K4" s="53">
        <v>0.15238020638432817</v>
      </c>
      <c r="L4" s="53">
        <v>0.13985212067817507</v>
      </c>
      <c r="M4" s="53">
        <v>8.2205173145593669E-2</v>
      </c>
      <c r="N4" s="53">
        <v>0.10799150146856956</v>
      </c>
    </row>
    <row r="5" spans="1:14" x14ac:dyDescent="0.35">
      <c r="B5" s="18" t="s">
        <v>54</v>
      </c>
      <c r="C5" s="53">
        <v>7.1726004274775434E-2</v>
      </c>
      <c r="D5" s="53">
        <v>7.2958720140784E-2</v>
      </c>
      <c r="E5" s="53">
        <v>5.4406217661453607E-2</v>
      </c>
      <c r="F5" s="53">
        <v>4.9970326409495551E-2</v>
      </c>
      <c r="G5" s="53">
        <v>4.0698725403989978E-2</v>
      </c>
      <c r="H5" s="53">
        <v>4.3966588893941151E-2</v>
      </c>
      <c r="I5" s="53">
        <v>7.1229789788988598E-2</v>
      </c>
      <c r="J5" s="53">
        <v>0</v>
      </c>
      <c r="K5" s="53">
        <v>7.9975817396792021E-2</v>
      </c>
      <c r="L5" s="53">
        <v>6.8941561149577918E-2</v>
      </c>
      <c r="M5" s="53">
        <v>0</v>
      </c>
      <c r="N5" s="53">
        <v>6.3984235622696325E-2</v>
      </c>
    </row>
    <row r="6" spans="1:14" x14ac:dyDescent="0.35">
      <c r="B6" s="18" t="s">
        <v>55</v>
      </c>
      <c r="C6" s="53">
        <v>2.762747536003534E-2</v>
      </c>
      <c r="D6" s="53">
        <v>1.1573338266390938E-2</v>
      </c>
      <c r="E6" s="53">
        <v>2.3686218205570018E-2</v>
      </c>
      <c r="F6" s="53">
        <v>4.747774480712166E-3</v>
      </c>
      <c r="G6" s="53">
        <v>1.6626154590688905E-2</v>
      </c>
      <c r="H6" s="53">
        <v>1.3821619119535186E-2</v>
      </c>
      <c r="I6" s="53">
        <v>1.5740602701188454E-2</v>
      </c>
      <c r="J6" s="53">
        <v>0</v>
      </c>
      <c r="K6" s="53">
        <v>1.2978123271101764E-2</v>
      </c>
      <c r="L6" s="53">
        <v>2.0997553844351702E-2</v>
      </c>
      <c r="M6" s="53">
        <v>0</v>
      </c>
      <c r="N6" s="53">
        <v>1.8024253173790188E-2</v>
      </c>
    </row>
    <row r="7" spans="1:14" x14ac:dyDescent="0.35">
      <c r="B7" s="18" t="s">
        <v>56</v>
      </c>
      <c r="C7" s="53">
        <v>6.4619649536150792E-2</v>
      </c>
      <c r="D7" s="53">
        <v>7.0994931660752505E-2</v>
      </c>
      <c r="E7" s="53">
        <v>8.4271858597812596E-2</v>
      </c>
      <c r="F7" s="53">
        <v>1.6201780415430266E-2</v>
      </c>
      <c r="G7" s="53">
        <v>9.7458969575686089E-2</v>
      </c>
      <c r="H7" s="53">
        <v>8.1751678122909219E-2</v>
      </c>
      <c r="I7" s="53">
        <v>0.12461512567305361</v>
      </c>
      <c r="J7" s="53">
        <v>0</v>
      </c>
      <c r="K7" s="53">
        <v>0.13149339047068107</v>
      </c>
      <c r="L7" s="53">
        <v>0.19364080663701036</v>
      </c>
      <c r="M7" s="53">
        <v>8.1118162591602358E-2</v>
      </c>
      <c r="N7" s="53">
        <v>0.11655823503879524</v>
      </c>
    </row>
    <row r="8" spans="1:14" x14ac:dyDescent="0.35">
      <c r="B8" s="18" t="s">
        <v>57</v>
      </c>
      <c r="C8" s="53">
        <v>0.36402036172875862</v>
      </c>
      <c r="D8" s="53">
        <v>0.61904746813371825</v>
      </c>
      <c r="E8" s="53">
        <v>0.35774026789564378</v>
      </c>
      <c r="F8" s="53">
        <v>0.25519287833827892</v>
      </c>
      <c r="G8" s="53">
        <v>0.46080108404895109</v>
      </c>
      <c r="H8" s="53">
        <v>0.61823125916120525</v>
      </c>
      <c r="I8" s="53">
        <v>0.57203194028619941</v>
      </c>
      <c r="J8" s="53">
        <v>0.9885323936578424</v>
      </c>
      <c r="K8" s="53">
        <v>0.44904892197738633</v>
      </c>
      <c r="L8" s="53">
        <v>0.47175781018685381</v>
      </c>
      <c r="M8" s="53">
        <v>0.65220633239479275</v>
      </c>
      <c r="N8" s="53">
        <v>0.47940140736191705</v>
      </c>
    </row>
    <row r="9" spans="1:14" x14ac:dyDescent="0.35">
      <c r="B9" s="18" t="s">
        <v>5</v>
      </c>
      <c r="C9" s="53">
        <v>0.26730080014725371</v>
      </c>
      <c r="D9" s="53">
        <v>0.15902906114417162</v>
      </c>
      <c r="E9" s="53">
        <v>0.29891729874768769</v>
      </c>
      <c r="F9" s="53">
        <v>0.57931987774480709</v>
      </c>
      <c r="G9" s="53">
        <v>0.15644913616898276</v>
      </c>
      <c r="H9" s="53">
        <v>6.0383105099389565E-2</v>
      </c>
      <c r="I9" s="53">
        <v>6.4069309704826591E-2</v>
      </c>
      <c r="J9" s="53">
        <v>1.1467606342157585E-2</v>
      </c>
      <c r="K9" s="53">
        <v>8.7400319642492771E-2</v>
      </c>
      <c r="L9" s="53">
        <v>5.1718874223181263E-2</v>
      </c>
      <c r="M9" s="53">
        <v>0.16748579196189678</v>
      </c>
      <c r="N9" s="53">
        <v>0.13214054121148189</v>
      </c>
    </row>
    <row r="10" spans="1:14" x14ac:dyDescent="0.35">
      <c r="B10" s="18" t="s">
        <v>58</v>
      </c>
      <c r="C10" s="53">
        <v>1.7236974201148579E-2</v>
      </c>
      <c r="D10" s="53">
        <v>2.2207764996081725E-2</v>
      </c>
      <c r="E10" s="53">
        <v>1.228089446868272E-2</v>
      </c>
      <c r="F10" s="53">
        <v>1.0379706231454006E-2</v>
      </c>
      <c r="G10" s="53">
        <v>1.7364499838821511E-2</v>
      </c>
      <c r="H10" s="53">
        <v>1.2262839919529736E-2</v>
      </c>
      <c r="I10" s="53">
        <v>1.6772457955372303E-2</v>
      </c>
      <c r="J10" s="53">
        <v>0</v>
      </c>
      <c r="K10" s="53">
        <v>2.796729026557981E-2</v>
      </c>
      <c r="L10" s="53">
        <v>2.6810211116380538E-2</v>
      </c>
      <c r="M10" s="53">
        <v>0</v>
      </c>
      <c r="N10" s="53">
        <v>2.0094194978821069E-2</v>
      </c>
    </row>
    <row r="11" spans="1:14" x14ac:dyDescent="0.35">
      <c r="B11" s="18" t="s">
        <v>59</v>
      </c>
      <c r="C11" s="53">
        <v>0</v>
      </c>
      <c r="D11" s="53">
        <v>9.4212768520210515E-6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5.3746706778752169E-7</v>
      </c>
    </row>
    <row r="12" spans="1:14" x14ac:dyDescent="0.35">
      <c r="B12" s="23"/>
      <c r="C12" s="21">
        <f>SUM(C3:C11)</f>
        <v>0.99999999999999989</v>
      </c>
      <c r="D12" s="21">
        <f t="shared" ref="D12:N12" si="0">SUM(D3:D11)</f>
        <v>0.99999999999999978</v>
      </c>
      <c r="E12" s="21">
        <f t="shared" si="0"/>
        <v>1</v>
      </c>
      <c r="F12" s="21">
        <f t="shared" si="0"/>
        <v>1</v>
      </c>
      <c r="G12" s="21">
        <f t="shared" si="0"/>
        <v>1.0000000000000002</v>
      </c>
      <c r="H12" s="21">
        <f t="shared" si="0"/>
        <v>1.0000000000000002</v>
      </c>
      <c r="I12" s="21">
        <f t="shared" si="0"/>
        <v>1.0000000000000002</v>
      </c>
      <c r="J12" s="21">
        <f t="shared" si="0"/>
        <v>1</v>
      </c>
      <c r="K12" s="21">
        <f t="shared" si="0"/>
        <v>1</v>
      </c>
      <c r="L12" s="21">
        <f t="shared" si="0"/>
        <v>0.99999999999999989</v>
      </c>
      <c r="M12" s="21">
        <f t="shared" si="0"/>
        <v>1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G12" sqref="G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26 January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444814011</v>
      </c>
      <c r="D3" s="50">
        <v>182800000</v>
      </c>
      <c r="E3" s="60">
        <f>SUM(C3:D3)</f>
        <v>627614011</v>
      </c>
      <c r="K3" s="15"/>
      <c r="L3" s="15"/>
      <c r="M3" s="54"/>
    </row>
    <row r="4" spans="1:13" x14ac:dyDescent="0.35">
      <c r="B4" s="18" t="s">
        <v>72</v>
      </c>
      <c r="C4" s="51">
        <v>54029000000</v>
      </c>
      <c r="D4" s="50">
        <v>18898450000</v>
      </c>
      <c r="E4" s="60">
        <f t="shared" ref="E4:E11" si="0">SUM(C4:D4)</f>
        <v>72927450000</v>
      </c>
      <c r="K4" s="15"/>
      <c r="L4" s="15"/>
      <c r="M4" s="54"/>
    </row>
    <row r="5" spans="1:13" x14ac:dyDescent="0.35">
      <c r="B5" s="18" t="s">
        <v>54</v>
      </c>
      <c r="C5" s="51">
        <v>983450000</v>
      </c>
      <c r="D5" s="50">
        <v>1272550000</v>
      </c>
      <c r="E5" s="60">
        <f t="shared" si="0"/>
        <v>2256000000</v>
      </c>
      <c r="K5" s="15"/>
      <c r="L5" s="15"/>
      <c r="M5" s="54"/>
    </row>
    <row r="6" spans="1:13" x14ac:dyDescent="0.35">
      <c r="B6" s="18" t="s">
        <v>55</v>
      </c>
      <c r="C6" s="51">
        <v>1326600000</v>
      </c>
      <c r="D6" s="50">
        <v>120480000</v>
      </c>
      <c r="E6" s="60">
        <f t="shared" si="0"/>
        <v>1447080000</v>
      </c>
      <c r="K6" s="15"/>
      <c r="L6" s="15"/>
      <c r="M6" s="54"/>
    </row>
    <row r="7" spans="1:13" x14ac:dyDescent="0.35">
      <c r="B7" s="18" t="s">
        <v>56</v>
      </c>
      <c r="C7" s="51">
        <v>59720000</v>
      </c>
      <c r="D7" s="50">
        <v>127662909</v>
      </c>
      <c r="E7" s="60">
        <f t="shared" si="0"/>
        <v>187382909</v>
      </c>
      <c r="K7" s="15"/>
      <c r="L7" s="15"/>
      <c r="M7" s="54"/>
    </row>
    <row r="8" spans="1:13" x14ac:dyDescent="0.35">
      <c r="B8" s="18" t="s">
        <v>57</v>
      </c>
      <c r="C8" s="51">
        <v>6730000</v>
      </c>
      <c r="D8" s="50">
        <v>65345694</v>
      </c>
      <c r="E8" s="60">
        <f t="shared" si="0"/>
        <v>72075694</v>
      </c>
      <c r="K8" s="15"/>
      <c r="L8" s="15"/>
      <c r="M8" s="54"/>
    </row>
    <row r="9" spans="1:13" x14ac:dyDescent="0.35">
      <c r="B9" s="18" t="s">
        <v>5</v>
      </c>
      <c r="C9" s="51">
        <v>12645987386</v>
      </c>
      <c r="D9" s="50">
        <v>13869376995</v>
      </c>
      <c r="E9" s="60">
        <f t="shared" si="0"/>
        <v>26515364381</v>
      </c>
      <c r="K9" s="15"/>
      <c r="L9" s="15"/>
      <c r="M9" s="54"/>
    </row>
    <row r="10" spans="1:13" x14ac:dyDescent="0.35">
      <c r="B10" s="18" t="s">
        <v>58</v>
      </c>
      <c r="C10" s="51">
        <v>178698603</v>
      </c>
      <c r="D10" s="50">
        <v>88334402</v>
      </c>
      <c r="E10" s="60">
        <f t="shared" si="0"/>
        <v>267033005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69675000000</v>
      </c>
      <c r="D12" s="20">
        <f t="shared" ref="D12:E12" si="1">SUM(D3:D11)</f>
        <v>34625000000</v>
      </c>
      <c r="E12" s="20">
        <f t="shared" si="1"/>
        <v>104300000000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D20" sqref="D20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26 January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6.384126458557589E-3</v>
      </c>
      <c r="D4" s="53">
        <v>5.2794223826714802E-3</v>
      </c>
      <c r="E4" s="53">
        <v>6.0173922435282842E-3</v>
      </c>
    </row>
    <row r="5" spans="1:5" ht="13" x14ac:dyDescent="0.3">
      <c r="B5" s="18" t="s">
        <v>72</v>
      </c>
      <c r="C5" s="53">
        <v>0.77544312881234301</v>
      </c>
      <c r="D5" s="53">
        <v>0.54580361010830325</v>
      </c>
      <c r="E5" s="53">
        <v>0.69920853307766062</v>
      </c>
    </row>
    <row r="6" spans="1:5" ht="13" x14ac:dyDescent="0.3">
      <c r="B6" s="18" t="s">
        <v>54</v>
      </c>
      <c r="C6" s="53">
        <v>1.4114818801578758E-2</v>
      </c>
      <c r="D6" s="53">
        <v>3.675234657039711E-2</v>
      </c>
      <c r="E6" s="53">
        <v>2.1629913710450623E-2</v>
      </c>
    </row>
    <row r="7" spans="1:5" ht="13" x14ac:dyDescent="0.3">
      <c r="B7" s="18" t="s">
        <v>55</v>
      </c>
      <c r="C7" s="53">
        <v>1.9039827771797632E-2</v>
      </c>
      <c r="D7" s="53">
        <v>3.4795667870036102E-3</v>
      </c>
      <c r="E7" s="53">
        <v>1.3874209012464046E-2</v>
      </c>
    </row>
    <row r="8" spans="1:5" ht="13" x14ac:dyDescent="0.3">
      <c r="B8" s="18" t="s">
        <v>56</v>
      </c>
      <c r="C8" s="53">
        <v>8.5712235378543236E-4</v>
      </c>
      <c r="D8" s="53">
        <v>3.6870154223826715E-3</v>
      </c>
      <c r="E8" s="53">
        <v>1.7965763087248322E-3</v>
      </c>
    </row>
    <row r="9" spans="1:5" ht="13" x14ac:dyDescent="0.3">
      <c r="B9" s="18" t="s">
        <v>57</v>
      </c>
      <c r="C9" s="53">
        <v>9.6591316828130609E-5</v>
      </c>
      <c r="D9" s="53">
        <v>1.8872402599277979E-3</v>
      </c>
      <c r="E9" s="53">
        <v>6.9104212847555127E-4</v>
      </c>
    </row>
    <row r="10" spans="1:5" ht="13" x14ac:dyDescent="0.3">
      <c r="B10" s="18" t="s">
        <v>5</v>
      </c>
      <c r="C10" s="53">
        <v>0.18149963955507714</v>
      </c>
      <c r="D10" s="53">
        <v>0.40055962440433213</v>
      </c>
      <c r="E10" s="53">
        <v>0.25422209377756472</v>
      </c>
    </row>
    <row r="11" spans="1:5" ht="13" x14ac:dyDescent="0.3">
      <c r="B11" s="18" t="s">
        <v>58</v>
      </c>
      <c r="C11" s="53">
        <v>2.5647449300322928E-3</v>
      </c>
      <c r="D11" s="53">
        <v>2.5511740649819493E-3</v>
      </c>
      <c r="E11" s="53">
        <v>2.5602397411313518E-3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v>1</v>
      </c>
      <c r="D13" s="21">
        <v>1</v>
      </c>
      <c r="E13" s="21"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Zine Mbatha</cp:lastModifiedBy>
  <dcterms:created xsi:type="dcterms:W3CDTF">2016-03-09T09:54:02Z</dcterms:created>
  <dcterms:modified xsi:type="dcterms:W3CDTF">2024-02-02T07:52:17Z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