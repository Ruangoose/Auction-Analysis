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R_ALM\4_Liability Management\C_Debt Issuance and Management\Approved filing folder\Core functions\Investor relations\Invstor relations website\Monthly Historical Holdings\2024\October\"/>
    </mc:Choice>
  </mc:AlternateContent>
  <xr:revisionPtr revIDLastSave="0" documentId="13_ncr:1_{776E5545-03E2-4D25-BF4A-1F0CB245E5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 concurrentCalc="0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6" l="1"/>
  <c r="E9" i="6"/>
  <c r="E5" i="6"/>
  <c r="E4" i="6"/>
  <c r="E3" i="6"/>
  <c r="Q12" i="3"/>
  <c r="F12" i="3"/>
  <c r="G12" i="3"/>
  <c r="H12" i="3"/>
  <c r="I12" i="3"/>
  <c r="J12" i="3"/>
  <c r="K12" i="3"/>
  <c r="L12" i="3"/>
  <c r="M12" i="3"/>
  <c r="N12" i="3"/>
  <c r="O12" i="3"/>
  <c r="P12" i="3"/>
  <c r="Q3" i="2"/>
  <c r="Q4" i="2"/>
  <c r="Q5" i="2"/>
  <c r="Q6" i="2"/>
  <c r="Q7" i="2"/>
  <c r="Q8" i="2"/>
  <c r="Q9" i="2"/>
  <c r="Q10" i="2"/>
  <c r="Q11" i="2"/>
  <c r="Q12" i="2"/>
  <c r="K12" i="2"/>
  <c r="G12" i="2"/>
  <c r="G3" i="8"/>
  <c r="G4" i="8"/>
  <c r="G5" i="8"/>
  <c r="G6" i="8"/>
  <c r="G7" i="8"/>
  <c r="G8" i="8"/>
  <c r="G9" i="8"/>
  <c r="G10" i="8"/>
  <c r="G11" i="8"/>
  <c r="N6" i="4"/>
  <c r="D12" i="9"/>
  <c r="E12" i="9"/>
  <c r="F12" i="9"/>
  <c r="G12" i="9"/>
  <c r="C12" i="9"/>
  <c r="D12" i="8"/>
  <c r="E12" i="8"/>
  <c r="F12" i="8"/>
  <c r="C12" i="8"/>
  <c r="D13" i="7"/>
  <c r="E13" i="7"/>
  <c r="C13" i="7"/>
  <c r="E6" i="6"/>
  <c r="E7" i="6"/>
  <c r="E8" i="6"/>
  <c r="E11" i="6"/>
  <c r="D12" i="6"/>
  <c r="C12" i="6"/>
  <c r="D12" i="5"/>
  <c r="E12" i="5"/>
  <c r="F12" i="5"/>
  <c r="G12" i="5"/>
  <c r="H12" i="5"/>
  <c r="I12" i="5"/>
  <c r="J12" i="5"/>
  <c r="K12" i="5"/>
  <c r="L12" i="5"/>
  <c r="M12" i="5"/>
  <c r="N12" i="5"/>
  <c r="C12" i="5"/>
  <c r="N4" i="4"/>
  <c r="N5" i="4"/>
  <c r="N3" i="4"/>
  <c r="N7" i="4"/>
  <c r="N8" i="4"/>
  <c r="N9" i="4"/>
  <c r="N10" i="4"/>
  <c r="N11" i="4"/>
  <c r="D12" i="4"/>
  <c r="E12" i="4"/>
  <c r="F12" i="4"/>
  <c r="G12" i="4"/>
  <c r="H12" i="4"/>
  <c r="I12" i="4"/>
  <c r="J12" i="4"/>
  <c r="K12" i="4"/>
  <c r="L12" i="4"/>
  <c r="M12" i="4"/>
  <c r="C12" i="4"/>
  <c r="D12" i="3"/>
  <c r="E12" i="3"/>
  <c r="C12" i="3"/>
  <c r="D12" i="2"/>
  <c r="E12" i="2"/>
  <c r="F12" i="2"/>
  <c r="H12" i="2"/>
  <c r="I12" i="2"/>
  <c r="J12" i="2"/>
  <c r="L12" i="2"/>
  <c r="M12" i="2"/>
  <c r="N12" i="2"/>
  <c r="O12" i="2"/>
  <c r="P12" i="2"/>
  <c r="C12" i="2"/>
  <c r="A1" i="4"/>
  <c r="A1" i="5"/>
  <c r="A1" i="6"/>
  <c r="A1" i="7"/>
  <c r="A1" i="8"/>
  <c r="A1" i="9"/>
  <c r="A1" i="3"/>
  <c r="G12" i="8"/>
  <c r="N12" i="4"/>
  <c r="E12" i="6"/>
</calcChain>
</file>

<file path=xl/sharedStrings.xml><?xml version="1.0" encoding="utf-8"?>
<sst xmlns="http://schemas.openxmlformats.org/spreadsheetml/2006/main" count="340" uniqueCount="93">
  <si>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</si>
  <si>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</si>
  <si>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</si>
  <si>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</si>
  <si>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</si>
  <si>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</si>
  <si>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</si>
  <si>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</si>
  <si>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</si>
  <si>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</si>
  <si>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</si>
  <si>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</si>
  <si>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</si>
  <si>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</si>
  <si>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</si>
  <si>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</si>
  <si>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</si>
  <si>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</si>
  <si>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</si>
  <si>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</si>
  <si>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</si>
  <si>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</si>
  <si>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</si>
  <si>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</si>
  <si>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</si>
  <si>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</si>
  <si>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</si>
  <si>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</si>
  <si>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</si>
  <si>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</si>
  <si>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</si>
  <si>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</si>
  <si>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</si>
  <si>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</si>
  <si>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</si>
  <si>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</si>
  <si>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</si>
  <si>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</si>
  <si>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</si>
  <si>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</si>
  <si>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</si>
  <si>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</si>
  <si>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</si>
  <si>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</si>
  <si>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</si>
  <si>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</si>
  <si>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</si>
  <si>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</si>
  <si>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</si>
  <si>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</si>
  <si>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</si>
  <si>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</si>
  <si>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</si>
  <si>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</si>
  <si>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</si>
  <si>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</si>
  <si>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</si>
  <si>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</si>
  <si>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</si>
  <si>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</si>
  <si>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</si>
  <si>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</si>
  <si>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</si>
  <si>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</si>
  <si>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</si>
  <si>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</si>
  <si>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</si>
  <si>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</si>
  <si>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</si>
  <si>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</si>
  <si>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</si>
  <si>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</si>
  <si>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</si>
  <si>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</si>
  <si>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</si>
  <si>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</si>
  <si>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</si>
  <si>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</si>
  <si>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</si>
  <si>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</si>
  <si>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</si>
  <si>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</si>
  <si>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</si>
  <si>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</si>
  <si>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</si>
  <si>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RS2029 (2029)</t>
  </si>
  <si>
    <t>RS2031 (2031)</t>
  </si>
  <si>
    <t>RS2034 (2034)</t>
  </si>
  <si>
    <t>RS2036 (2036)</t>
  </si>
  <si>
    <t>k</t>
  </si>
  <si>
    <t>R2033 (2033)</t>
  </si>
  <si>
    <t>R2038 (2038)</t>
  </si>
  <si>
    <t>25 October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</si>
</sst>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31" fillId="0" borderId="0"/>
  </cellStyleXfs>
  <cellXfs count="82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17" fontId="24" fillId="0" borderId="0" xfId="0" applyNumberFormat="1" applyFont="1"/>
    <xf numFmtId="0" fontId="2" fillId="24" borderId="20" xfId="0" applyFont="1" applyFill="1" applyBorder="1" applyAlignment="1">
      <alignment horizontal="center"/>
    </xf>
    <xf numFmtId="166" fontId="2" fillId="24" borderId="0" xfId="0" applyNumberFormat="1" applyFont="1" applyFill="1" applyAlignment="1">
      <alignment horizontal="center"/>
    </xf>
    <xf numFmtId="167" fontId="2" fillId="0" borderId="10" xfId="31" applyNumberFormat="1" applyBorder="1"/>
    <xf numFmtId="167" fontId="2" fillId="0" borderId="10" xfId="55" applyNumberFormat="1" applyBorder="1"/>
    <xf numFmtId="9" fontId="2" fillId="0" borderId="19" xfId="67" applyBorder="1"/>
    <xf numFmtId="9" fontId="2" fillId="0" borderId="11" xfId="67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1" xfId="67" applyBorder="1"/>
    <xf numFmtId="9" fontId="2" fillId="0" borderId="22" xfId="67" applyBorder="1"/>
    <xf numFmtId="9" fontId="2" fillId="0" borderId="23" xfId="67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1" xfId="67" applyBorder="1"/>
    <xf numFmtId="9" fontId="2" fillId="0" borderId="22" xfId="67" applyBorder="1"/>
  </cellXfs>
  <cellStyles count="7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rmal 7" xfId="74" xr:uid="{C78E3923-4C18-44BF-8A34-1EFDDAFDED99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9"/>
  <sheetViews>
    <sheetView tabSelected="1" workbookViewId="0">
      <pane ySplit="1" topLeftCell="A160" activePane="bottomLeft" state="frozen"/>
      <selection pane="bottomLeft" activeCell="J167" sqref="J167"/>
    </sheetView>
  </sheetViews>
  <sheetFormatPr defaultRowHeight="14.5" x14ac:dyDescent="0.35"/>
  <cols>
    <col min="1" max="1" width="10.1796875" style="59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64" t="s">
        <v>0</v>
      </c>
      <c r="B1" s="64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57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57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57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57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57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58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58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58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58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0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1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56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56" t="s">
        <v>68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2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2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2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55" t="s">
        <v>69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55" t="s">
        <v>70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55" t="s">
        <v>73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55" t="s">
        <v>74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55" t="s">
        <v>75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2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55" t="s">
        <v>77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55" t="s">
        <v>84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2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  <row r="162" spans="2:8" x14ac:dyDescent="0.35">
      <c r="B162" s="5" t="s">
        <v>25</v>
      </c>
      <c r="C162" s="6">
        <v>0.24630659173165076</v>
      </c>
      <c r="D162" s="6">
        <v>0.20258687335171777</v>
      </c>
      <c r="E162" s="6">
        <v>7.0618448547613774E-2</v>
      </c>
      <c r="F162" s="6">
        <v>0.23201782340815383</v>
      </c>
      <c r="G162" s="6">
        <v>0.22713047341408027</v>
      </c>
      <c r="H162" s="6">
        <v>2.1339789546783682E-2</v>
      </c>
    </row>
    <row r="163" spans="2:8" x14ac:dyDescent="0.35">
      <c r="B163" s="5" t="s">
        <v>26</v>
      </c>
      <c r="C163" s="6">
        <v>0.24571296970291218</v>
      </c>
      <c r="D163" s="6">
        <v>0.2066748161424766</v>
      </c>
      <c r="E163" s="6">
        <v>6.923725251447084E-2</v>
      </c>
      <c r="F163" s="6">
        <v>0.23325523021262498</v>
      </c>
      <c r="G163" s="6">
        <v>0.22471172491957891</v>
      </c>
      <c r="H163" s="6">
        <v>2.0408006507936428E-2</v>
      </c>
    </row>
    <row r="164" spans="2:8" x14ac:dyDescent="0.35">
      <c r="B164" s="5" t="s">
        <v>15</v>
      </c>
      <c r="C164" s="6">
        <v>0.25265420385938092</v>
      </c>
      <c r="D164" s="6">
        <v>0.20190331180302523</v>
      </c>
      <c r="E164" s="6">
        <v>7.2140373518782955E-2</v>
      </c>
      <c r="F164" s="6">
        <v>0.23347562637859828</v>
      </c>
      <c r="G164" s="6">
        <v>0.2292605872967429</v>
      </c>
      <c r="H164" s="6">
        <v>1.0565897143469614E-2</v>
      </c>
    </row>
    <row r="165" spans="2:8" x14ac:dyDescent="0.35">
      <c r="B165" s="5" t="s">
        <v>34</v>
      </c>
      <c r="C165" s="6">
        <v>0.24818154464396691</v>
      </c>
      <c r="D165" s="6">
        <v>0.20114104221205067</v>
      </c>
      <c r="E165" s="6">
        <v>7.4495801467959602E-2</v>
      </c>
      <c r="F165" s="6">
        <v>0.23065953592596566</v>
      </c>
      <c r="G165" s="6">
        <v>0.23022373451781308</v>
      </c>
      <c r="H165" s="6">
        <v>1.5298341232243988E-2</v>
      </c>
    </row>
    <row r="166" spans="2:8" x14ac:dyDescent="0.35">
      <c r="B166" s="5" t="s">
        <v>27</v>
      </c>
      <c r="C166" s="6">
        <v>0.2500493212999475</v>
      </c>
      <c r="D166" s="6">
        <v>0.19924229843462044</v>
      </c>
      <c r="E166" s="6">
        <v>7.4595453732788891E-2</v>
      </c>
      <c r="F166" s="6">
        <v>0.22734275499351828</v>
      </c>
      <c r="G166" s="6">
        <v>0.2334918912302438</v>
      </c>
      <c r="H166" s="6">
        <v>1.5278280308881167E-2</v>
      </c>
    </row>
    <row r="167" spans="2:8" x14ac:dyDescent="0.35">
      <c r="B167" s="5" t="s">
        <v>37</v>
      </c>
      <c r="C167" s="6">
        <v>0.24618620573559191</v>
      </c>
      <c r="D167" s="6">
        <v>0.19867647965841123</v>
      </c>
      <c r="E167" s="6">
        <v>7.8348876208802806E-2</v>
      </c>
      <c r="F167" s="6">
        <v>0.23147227021750336</v>
      </c>
      <c r="G167" s="6">
        <v>0.23085516293892402</v>
      </c>
      <c r="H167" s="6">
        <v>1.4461005240766682E-2</v>
      </c>
    </row>
    <row r="168" spans="2:8" x14ac:dyDescent="0.35">
      <c r="B168" s="5" t="s">
        <v>29</v>
      </c>
      <c r="C168" s="6">
        <v>0.25037128364123729</v>
      </c>
      <c r="D168" s="6">
        <v>0.20034205818621054</v>
      </c>
      <c r="E168" s="6">
        <v>8.0579943891551736E-2</v>
      </c>
      <c r="F168" s="6">
        <v>0.23070432288066625</v>
      </c>
      <c r="G168" s="6">
        <v>0.22424952945175494</v>
      </c>
      <c r="H168" s="6">
        <v>1.3752861948579222E-2</v>
      </c>
    </row>
    <row r="169" spans="2:8" x14ac:dyDescent="0.35">
      <c r="B169" s="5" t="s">
        <v>30</v>
      </c>
      <c r="C169" s="65">
        <v>0.24999274325944326</v>
      </c>
      <c r="D169" s="65">
        <v>0.19572173663282363</v>
      </c>
      <c r="E169" s="65">
        <v>7.7960125944097264E-2</v>
      </c>
      <c r="F169" s="65">
        <v>0.23100581321685312</v>
      </c>
      <c r="G169" s="65">
        <v>0.22939973019979987</v>
      </c>
      <c r="H169" s="65">
        <v>1.5919850746982839E-2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zoomScale="66" workbookViewId="0">
      <selection activeCell="F8" sqref="F8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6" width="16.1796875" style="15" bestFit="1" customWidth="1"/>
    <col min="7" max="7" width="14" style="15" bestFit="1" customWidth="1"/>
    <col min="8" max="8" width="16.1796875" style="15" customWidth="1"/>
    <col min="9" max="10" width="16.1796875" style="15" bestFit="1" customWidth="1"/>
    <col min="11" max="11" width="14" style="15" bestFit="1" customWidth="1"/>
    <col min="12" max="12" width="16.1796875" style="15" bestFit="1" customWidth="1"/>
    <col min="13" max="13" width="15" style="15" bestFit="1" customWidth="1"/>
    <col min="14" max="14" width="16.1796875" style="15" bestFit="1" customWidth="1"/>
    <col min="15" max="15" width="20.453125" style="15" bestFit="1" customWidth="1"/>
    <col min="16" max="16" width="15" bestFit="1" customWidth="1"/>
    <col min="17" max="17" width="17.7265625" bestFit="1" customWidth="1"/>
    <col min="18" max="18" width="20.54296875" bestFit="1" customWidth="1"/>
  </cols>
  <sheetData>
    <row r="1" spans="1:18" x14ac:dyDescent="0.35">
      <c r="A1" s="39" t="s">
        <v>92</v>
      </c>
    </row>
    <row r="2" spans="1:18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90</v>
      </c>
      <c r="H2" s="41" t="s">
        <v>45</v>
      </c>
      <c r="I2" s="41" t="s">
        <v>46</v>
      </c>
      <c r="J2" s="41" t="s">
        <v>47</v>
      </c>
      <c r="K2" s="41" t="s">
        <v>91</v>
      </c>
      <c r="L2" s="41" t="s">
        <v>48</v>
      </c>
      <c r="M2" s="41" t="s">
        <v>49</v>
      </c>
      <c r="N2" s="31" t="s">
        <v>50</v>
      </c>
      <c r="O2" s="31" t="s">
        <v>51</v>
      </c>
      <c r="P2" s="31" t="s">
        <v>78</v>
      </c>
      <c r="Q2" s="53" t="s">
        <v>52</v>
      </c>
    </row>
    <row r="3" spans="1:18" x14ac:dyDescent="0.35">
      <c r="B3" s="18" t="s">
        <v>53</v>
      </c>
      <c r="C3" s="66">
        <v>97159725030.949997</v>
      </c>
      <c r="D3" s="66">
        <v>87034801901.48999</v>
      </c>
      <c r="E3" s="66">
        <v>62035338873</v>
      </c>
      <c r="F3" s="66">
        <v>74766925780</v>
      </c>
      <c r="G3" s="66">
        <v>5223051000</v>
      </c>
      <c r="H3" s="66">
        <v>132734559929</v>
      </c>
      <c r="I3" s="66">
        <v>40076007451.32</v>
      </c>
      <c r="J3" s="66">
        <v>118014394262</v>
      </c>
      <c r="K3" s="66">
        <v>4169104701</v>
      </c>
      <c r="L3" s="66">
        <v>104836491147</v>
      </c>
      <c r="M3" s="66">
        <v>47511589303</v>
      </c>
      <c r="N3" s="66">
        <v>81002000426</v>
      </c>
      <c r="O3" s="66">
        <v>81567998904</v>
      </c>
      <c r="P3" s="66">
        <v>9481453731</v>
      </c>
      <c r="Q3" s="54">
        <f>SUM(C3:P3)</f>
        <v>945613442439.76001</v>
      </c>
      <c r="R3" s="51"/>
    </row>
    <row r="4" spans="1:18" x14ac:dyDescent="0.35">
      <c r="B4" s="18" t="s">
        <v>72</v>
      </c>
      <c r="C4" s="66">
        <v>103318781484.64999</v>
      </c>
      <c r="D4" s="66">
        <v>85270754174.529999</v>
      </c>
      <c r="E4" s="66">
        <v>57401899026</v>
      </c>
      <c r="F4" s="66">
        <v>79409112145.199997</v>
      </c>
      <c r="G4" s="66">
        <v>3210294747</v>
      </c>
      <c r="H4" s="66">
        <v>45095800819.800003</v>
      </c>
      <c r="I4" s="66">
        <v>8484050273</v>
      </c>
      <c r="J4" s="66">
        <v>19245487348.690002</v>
      </c>
      <c r="K4" s="66">
        <v>2311644291</v>
      </c>
      <c r="L4" s="66">
        <v>15475482946</v>
      </c>
      <c r="M4" s="66">
        <v>9642133000</v>
      </c>
      <c r="N4" s="66">
        <v>29434325282.099998</v>
      </c>
      <c r="O4" s="66">
        <v>144764966414.58002</v>
      </c>
      <c r="P4" s="66">
        <v>5590006269</v>
      </c>
      <c r="Q4" s="54">
        <f t="shared" ref="Q4:Q11" si="0">SUM(C4:P4)</f>
        <v>608654738221.55005</v>
      </c>
    </row>
    <row r="5" spans="1:18" x14ac:dyDescent="0.35">
      <c r="B5" s="18" t="s">
        <v>54</v>
      </c>
      <c r="C5" s="66">
        <v>16557100361.9</v>
      </c>
      <c r="D5" s="66">
        <v>16707769974</v>
      </c>
      <c r="E5" s="66">
        <v>9126633915</v>
      </c>
      <c r="F5" s="66">
        <v>12470894585</v>
      </c>
      <c r="G5" s="66">
        <v>181889</v>
      </c>
      <c r="H5" s="66">
        <v>13198610549</v>
      </c>
      <c r="I5" s="66">
        <v>7923649066</v>
      </c>
      <c r="J5" s="66">
        <v>21047076084</v>
      </c>
      <c r="K5" s="66">
        <v>252473848</v>
      </c>
      <c r="L5" s="66">
        <v>27922705603</v>
      </c>
      <c r="M5" s="66">
        <v>9518758347</v>
      </c>
      <c r="N5" s="66">
        <v>33055753432</v>
      </c>
      <c r="O5" s="66">
        <v>38206899311</v>
      </c>
      <c r="P5" s="66">
        <v>14891429435</v>
      </c>
      <c r="Q5" s="54">
        <f t="shared" si="0"/>
        <v>220879936399.89999</v>
      </c>
    </row>
    <row r="6" spans="1:18" x14ac:dyDescent="0.35">
      <c r="B6" s="18" t="s">
        <v>55</v>
      </c>
      <c r="C6" s="66">
        <v>2536056613</v>
      </c>
      <c r="D6" s="66">
        <v>3823316057</v>
      </c>
      <c r="E6" s="66">
        <v>2126313859</v>
      </c>
      <c r="F6" s="66">
        <v>3712066128</v>
      </c>
      <c r="G6" s="66">
        <v>0</v>
      </c>
      <c r="H6" s="66">
        <v>2495330015</v>
      </c>
      <c r="I6" s="66">
        <v>492165955</v>
      </c>
      <c r="J6" s="66">
        <v>3688135709</v>
      </c>
      <c r="K6" s="66">
        <v>5320000</v>
      </c>
      <c r="L6" s="66">
        <v>2520914493</v>
      </c>
      <c r="M6" s="66">
        <v>630742576</v>
      </c>
      <c r="N6" s="66">
        <v>2306419797</v>
      </c>
      <c r="O6" s="66">
        <v>4958343426</v>
      </c>
      <c r="P6" s="66">
        <v>150765000</v>
      </c>
      <c r="Q6" s="54">
        <f t="shared" si="0"/>
        <v>29445889628</v>
      </c>
    </row>
    <row r="7" spans="1:18" x14ac:dyDescent="0.35">
      <c r="B7" s="18" t="s">
        <v>56</v>
      </c>
      <c r="C7" s="66">
        <v>3368452351.73</v>
      </c>
      <c r="D7" s="66">
        <v>5228760221</v>
      </c>
      <c r="E7" s="66">
        <v>4081890134</v>
      </c>
      <c r="F7" s="66">
        <v>11372633047</v>
      </c>
      <c r="G7" s="66">
        <v>16519000</v>
      </c>
      <c r="H7" s="66">
        <v>10784212532</v>
      </c>
      <c r="I7" s="66">
        <v>4342297909</v>
      </c>
      <c r="J7" s="66">
        <v>10161548878</v>
      </c>
      <c r="K7" s="66">
        <v>767227717</v>
      </c>
      <c r="L7" s="66">
        <v>8697108703</v>
      </c>
      <c r="M7" s="66">
        <v>2397302775</v>
      </c>
      <c r="N7" s="66">
        <v>7973001177</v>
      </c>
      <c r="O7" s="66">
        <v>11102044124</v>
      </c>
      <c r="P7" s="66">
        <v>1053730773</v>
      </c>
      <c r="Q7" s="54">
        <f t="shared" si="0"/>
        <v>81346729341.729996</v>
      </c>
    </row>
    <row r="8" spans="1:18" x14ac:dyDescent="0.35">
      <c r="B8" s="18" t="s">
        <v>57</v>
      </c>
      <c r="C8" s="66">
        <v>16028692210.51</v>
      </c>
      <c r="D8" s="66">
        <v>51236601078</v>
      </c>
      <c r="E8" s="66">
        <v>20333984049</v>
      </c>
      <c r="F8" s="66">
        <v>50599611567</v>
      </c>
      <c r="G8" s="66">
        <v>0</v>
      </c>
      <c r="H8" s="66">
        <v>50657786709</v>
      </c>
      <c r="I8" s="66">
        <v>17184642328</v>
      </c>
      <c r="J8" s="66">
        <v>59987304715</v>
      </c>
      <c r="K8" s="66">
        <v>272826997</v>
      </c>
      <c r="L8" s="66">
        <v>42384336010</v>
      </c>
      <c r="M8" s="66">
        <v>9375902726</v>
      </c>
      <c r="N8" s="66">
        <v>52401791572</v>
      </c>
      <c r="O8" s="66">
        <v>71325827935</v>
      </c>
      <c r="P8" s="66">
        <v>6876909845</v>
      </c>
      <c r="Q8" s="54">
        <f t="shared" si="0"/>
        <v>448666217741.51001</v>
      </c>
    </row>
    <row r="9" spans="1:18" x14ac:dyDescent="0.35">
      <c r="B9" s="18" t="s">
        <v>5</v>
      </c>
      <c r="C9" s="66">
        <v>91762839134.699997</v>
      </c>
      <c r="D9" s="66">
        <v>98075425505.979996</v>
      </c>
      <c r="E9" s="66">
        <v>55993092124</v>
      </c>
      <c r="F9" s="66">
        <v>91946392544</v>
      </c>
      <c r="G9" s="66">
        <v>2535953364</v>
      </c>
      <c r="H9" s="66">
        <v>72693901688.199997</v>
      </c>
      <c r="I9" s="66">
        <v>21447333026.68</v>
      </c>
      <c r="J9" s="66">
        <v>80204046121</v>
      </c>
      <c r="K9" s="66">
        <v>2694106046</v>
      </c>
      <c r="L9" s="66">
        <v>63351211129</v>
      </c>
      <c r="M9" s="66">
        <v>12818747241</v>
      </c>
      <c r="N9" s="66">
        <v>58108435562</v>
      </c>
      <c r="O9" s="66">
        <v>70153329582.419998</v>
      </c>
      <c r="P9" s="66">
        <v>22155531512</v>
      </c>
      <c r="Q9" s="54">
        <f t="shared" si="0"/>
        <v>743940344580.9801</v>
      </c>
    </row>
    <row r="10" spans="1:18" x14ac:dyDescent="0.35">
      <c r="B10" s="18" t="s">
        <v>58</v>
      </c>
      <c r="C10" s="66">
        <v>3923813138.4499998</v>
      </c>
      <c r="D10" s="66">
        <v>5941029013</v>
      </c>
      <c r="E10" s="66">
        <v>1730796592</v>
      </c>
      <c r="F10" s="66">
        <v>5108457565.8000002</v>
      </c>
      <c r="G10" s="66">
        <v>0</v>
      </c>
      <c r="H10" s="66">
        <v>9625451228</v>
      </c>
      <c r="I10" s="66">
        <v>4308406136</v>
      </c>
      <c r="J10" s="66">
        <v>6536363093.3099995</v>
      </c>
      <c r="K10" s="66">
        <v>332296400</v>
      </c>
      <c r="L10" s="66">
        <v>5796668921</v>
      </c>
      <c r="M10" s="66">
        <v>1486680528</v>
      </c>
      <c r="N10" s="66">
        <v>3285719622.9000001</v>
      </c>
      <c r="O10" s="66">
        <v>2868042156</v>
      </c>
      <c r="P10" s="66">
        <v>669845143</v>
      </c>
      <c r="Q10" s="54">
        <f t="shared" si="0"/>
        <v>51613569537.459999</v>
      </c>
    </row>
    <row r="11" spans="1:18" x14ac:dyDescent="0.35">
      <c r="A11" s="17"/>
      <c r="B11" s="19" t="s">
        <v>59</v>
      </c>
      <c r="C11" s="67">
        <v>569295913</v>
      </c>
      <c r="D11" s="67">
        <v>150202106</v>
      </c>
      <c r="E11" s="67">
        <v>212672</v>
      </c>
      <c r="F11" s="67">
        <v>10397589</v>
      </c>
      <c r="G11" s="67">
        <v>0</v>
      </c>
      <c r="H11" s="67">
        <v>756979141</v>
      </c>
      <c r="I11" s="67">
        <v>4000000</v>
      </c>
      <c r="J11" s="67">
        <v>134312700</v>
      </c>
      <c r="K11" s="67">
        <v>0</v>
      </c>
      <c r="L11" s="67">
        <v>14482150</v>
      </c>
      <c r="M11" s="67">
        <v>0</v>
      </c>
      <c r="N11" s="67">
        <v>6974000</v>
      </c>
      <c r="O11" s="67">
        <v>337520655</v>
      </c>
      <c r="P11" s="67">
        <v>0</v>
      </c>
      <c r="Q11" s="54">
        <f t="shared" si="0"/>
        <v>1984376926</v>
      </c>
    </row>
    <row r="12" spans="1:18" x14ac:dyDescent="0.35">
      <c r="B12" s="19"/>
      <c r="C12" s="20">
        <f>SUM(C3:C11)</f>
        <v>335224756238.89001</v>
      </c>
      <c r="D12" s="20">
        <f t="shared" ref="D12:P12" si="1">SUM(D3:D11)</f>
        <v>353468660031</v>
      </c>
      <c r="E12" s="20">
        <f t="shared" si="1"/>
        <v>212830161244</v>
      </c>
      <c r="F12" s="20">
        <f t="shared" si="1"/>
        <v>329396490951</v>
      </c>
      <c r="G12" s="20">
        <f t="shared" si="1"/>
        <v>10986000000</v>
      </c>
      <c r="H12" s="20">
        <f t="shared" si="1"/>
        <v>338042632611</v>
      </c>
      <c r="I12" s="20">
        <f t="shared" si="1"/>
        <v>104262552145</v>
      </c>
      <c r="J12" s="20">
        <f t="shared" si="1"/>
        <v>319018668911</v>
      </c>
      <c r="K12" s="20">
        <f t="shared" si="1"/>
        <v>10805000000</v>
      </c>
      <c r="L12" s="20">
        <f t="shared" si="1"/>
        <v>270999401102</v>
      </c>
      <c r="M12" s="20">
        <f t="shared" si="1"/>
        <v>93381856496</v>
      </c>
      <c r="N12" s="20">
        <f t="shared" si="1"/>
        <v>267574420871</v>
      </c>
      <c r="O12" s="20">
        <f t="shared" si="1"/>
        <v>425284972508</v>
      </c>
      <c r="P12" s="20">
        <f t="shared" si="1"/>
        <v>60869671708</v>
      </c>
      <c r="Q12" s="20">
        <f>SUM(Q3:Q11)</f>
        <v>3132145244816.8901</v>
      </c>
    </row>
    <row r="13" spans="1:18" x14ac:dyDescent="0.35">
      <c r="O13"/>
    </row>
    <row r="15" spans="1:18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27" spans="3:16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zoomScale="74" workbookViewId="0">
      <selection activeCell="L13" sqref="L13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6" width="12" style="15" bestFit="1" customWidth="1"/>
    <col min="7" max="7" width="12" style="15" customWidth="1"/>
    <col min="8" max="9" width="12" style="15" bestFit="1" customWidth="1"/>
    <col min="10" max="11" width="11.90625" style="15" bestFit="1" customWidth="1"/>
    <col min="12" max="12" width="12" style="15" bestFit="1" customWidth="1"/>
    <col min="13" max="13" width="12" style="15" customWidth="1"/>
    <col min="14" max="14" width="11.90625" style="15" bestFit="1" customWidth="1"/>
    <col min="15" max="16" width="12" style="15" bestFit="1" customWidth="1"/>
    <col min="17" max="17" width="11.36328125" style="28" bestFit="1" customWidth="1"/>
    <col min="18" max="16384" width="9.1796875" style="28"/>
  </cols>
  <sheetData>
    <row r="1" spans="1:17" ht="15" thickBot="1" x14ac:dyDescent="0.4">
      <c r="A1" s="39" t="str">
        <f>'Fixed rate bond (Values)'!A1</f>
        <v>25 October 2024</v>
      </c>
    </row>
    <row r="2" spans="1:17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90</v>
      </c>
      <c r="H2" s="45" t="s">
        <v>45</v>
      </c>
      <c r="I2" s="45" t="s">
        <v>46</v>
      </c>
      <c r="J2" s="45" t="s">
        <v>47</v>
      </c>
      <c r="K2" s="45" t="s">
        <v>91</v>
      </c>
      <c r="L2" s="45" t="s">
        <v>48</v>
      </c>
      <c r="M2" s="45" t="s">
        <v>49</v>
      </c>
      <c r="N2" s="45" t="s">
        <v>50</v>
      </c>
      <c r="O2" s="45" t="s">
        <v>51</v>
      </c>
      <c r="P2" s="45" t="s">
        <v>78</v>
      </c>
      <c r="Q2" s="45" t="s">
        <v>71</v>
      </c>
    </row>
    <row r="3" spans="1:17" x14ac:dyDescent="0.35">
      <c r="B3" s="46" t="s">
        <v>53</v>
      </c>
      <c r="C3" s="69">
        <v>0.2898345758262299</v>
      </c>
      <c r="D3" s="69">
        <v>0.24623060469874994</v>
      </c>
      <c r="E3" s="69">
        <v>0.29147813688812335</v>
      </c>
      <c r="F3" s="69">
        <v>0.22698154908736443</v>
      </c>
      <c r="G3" s="69">
        <v>0.47542790824685965</v>
      </c>
      <c r="H3" s="69">
        <v>0.39265627209140597</v>
      </c>
      <c r="I3" s="69">
        <v>0.38437585333212926</v>
      </c>
      <c r="J3" s="69">
        <v>0.36992942972539239</v>
      </c>
      <c r="K3" s="69">
        <v>0.38584957899120775</v>
      </c>
      <c r="L3" s="69">
        <v>0.38685137576204887</v>
      </c>
      <c r="M3" s="69">
        <v>0.50878822809691249</v>
      </c>
      <c r="N3" s="69">
        <v>0.30272699521248997</v>
      </c>
      <c r="O3" s="69">
        <v>0.19179609950235341</v>
      </c>
      <c r="P3" s="69">
        <v>0.15576646735477412</v>
      </c>
      <c r="Q3" s="69">
        <v>0.30190600005046764</v>
      </c>
    </row>
    <row r="4" spans="1:17" x14ac:dyDescent="0.35">
      <c r="B4" s="47" t="s">
        <v>72</v>
      </c>
      <c r="C4" s="69">
        <v>0.30820749232202382</v>
      </c>
      <c r="D4" s="69">
        <v>0.24123992822178791</v>
      </c>
      <c r="E4" s="69">
        <v>0.26970753905594874</v>
      </c>
      <c r="F4" s="69">
        <v>0.24107455400006872</v>
      </c>
      <c r="G4" s="69">
        <v>0.29221688940469687</v>
      </c>
      <c r="H4" s="69">
        <v>0.13340270270493856</v>
      </c>
      <c r="I4" s="69">
        <v>8.1371979665345831E-2</v>
      </c>
      <c r="J4" s="69">
        <v>6.032715080401492E-2</v>
      </c>
      <c r="K4" s="69">
        <v>0.21394209079130033</v>
      </c>
      <c r="L4" s="69">
        <v>5.7105229321799372E-2</v>
      </c>
      <c r="M4" s="69">
        <v>0.10325488656796002</v>
      </c>
      <c r="N4" s="69">
        <v>0.11000425670841887</v>
      </c>
      <c r="O4" s="69">
        <v>0.34039520738498902</v>
      </c>
      <c r="P4" s="69">
        <v>9.183565661099688E-2</v>
      </c>
      <c r="Q4" s="68">
        <v>0.19432519587932867</v>
      </c>
    </row>
    <row r="5" spans="1:17" x14ac:dyDescent="0.35">
      <c r="B5" s="47" t="s">
        <v>54</v>
      </c>
      <c r="C5" s="69">
        <v>4.9391043035320971E-2</v>
      </c>
      <c r="D5" s="69">
        <v>4.7268037773234808E-2</v>
      </c>
      <c r="E5" s="69">
        <v>4.2882239348288297E-2</v>
      </c>
      <c r="F5" s="69">
        <v>3.7859828284737655E-2</v>
      </c>
      <c r="G5" s="69">
        <v>1.6556435463316948E-5</v>
      </c>
      <c r="H5" s="69">
        <v>3.9044218911252537E-2</v>
      </c>
      <c r="I5" s="69">
        <v>7.5997075680445877E-2</v>
      </c>
      <c r="J5" s="69">
        <v>6.5974433897069903E-2</v>
      </c>
      <c r="K5" s="69">
        <v>2.3366390374826469E-2</v>
      </c>
      <c r="L5" s="69">
        <v>0.1030360417383001</v>
      </c>
      <c r="M5" s="69">
        <v>0.10193370215773911</v>
      </c>
      <c r="N5" s="69">
        <v>0.12353854050920836</v>
      </c>
      <c r="O5" s="69">
        <v>8.9838347886325318E-2</v>
      </c>
      <c r="P5" s="69">
        <v>0.24464448414369949</v>
      </c>
      <c r="Q5" s="68">
        <v>7.052033642610113E-2</v>
      </c>
    </row>
    <row r="6" spans="1:17" x14ac:dyDescent="0.35">
      <c r="B6" s="47" t="s">
        <v>55</v>
      </c>
      <c r="C6" s="69">
        <v>7.5652426194703203E-3</v>
      </c>
      <c r="D6" s="69">
        <v>1.0816563077090587E-2</v>
      </c>
      <c r="E6" s="69">
        <v>9.9906603771364854E-3</v>
      </c>
      <c r="F6" s="69">
        <v>1.1269294694921918E-2</v>
      </c>
      <c r="G6" s="69">
        <v>0</v>
      </c>
      <c r="H6" s="69">
        <v>7.3817021117318126E-3</v>
      </c>
      <c r="I6" s="69">
        <v>4.7204479928280967E-3</v>
      </c>
      <c r="J6" s="69">
        <v>1.1560877366800493E-2</v>
      </c>
      <c r="K6" s="69">
        <v>4.9236464599722351E-4</v>
      </c>
      <c r="L6" s="69">
        <v>9.302288059489721E-3</v>
      </c>
      <c r="M6" s="69">
        <v>6.7544445962799829E-3</v>
      </c>
      <c r="N6" s="69">
        <v>8.6197319964001554E-3</v>
      </c>
      <c r="O6" s="69">
        <v>1.1658872865315572E-2</v>
      </c>
      <c r="P6" s="69">
        <v>2.4768492382091362E-3</v>
      </c>
      <c r="Q6" s="68">
        <v>9.401189065777648E-3</v>
      </c>
    </row>
    <row r="7" spans="1:17" x14ac:dyDescent="0.35">
      <c r="B7" s="47" t="s">
        <v>56</v>
      </c>
      <c r="C7" s="69">
        <v>1.0048340073456723E-2</v>
      </c>
      <c r="D7" s="69">
        <v>1.4792712373825238E-2</v>
      </c>
      <c r="E7" s="69">
        <v>1.9179096187031033E-2</v>
      </c>
      <c r="F7" s="69">
        <v>3.4525665450066245E-2</v>
      </c>
      <c r="G7" s="69">
        <v>1.5036409976333515E-3</v>
      </c>
      <c r="H7" s="69">
        <v>3.1901930382875261E-2</v>
      </c>
      <c r="I7" s="69">
        <v>4.1647723172564204E-2</v>
      </c>
      <c r="J7" s="69">
        <v>3.1852521085011722E-2</v>
      </c>
      <c r="K7" s="69">
        <v>7.1006729939842667E-2</v>
      </c>
      <c r="L7" s="69">
        <v>3.2092722964087078E-2</v>
      </c>
      <c r="M7" s="69">
        <v>2.5672040211608859E-2</v>
      </c>
      <c r="N7" s="69">
        <v>2.97973219975457E-2</v>
      </c>
      <c r="O7" s="69">
        <v>2.6104952776790532E-2</v>
      </c>
      <c r="P7" s="69">
        <v>1.7311260984861035E-2</v>
      </c>
      <c r="Q7" s="68">
        <v>2.5971569957154286E-2</v>
      </c>
    </row>
    <row r="8" spans="1:17" x14ac:dyDescent="0.35">
      <c r="B8" s="47" t="s">
        <v>57</v>
      </c>
      <c r="C8" s="69">
        <v>4.7814762818673008E-2</v>
      </c>
      <c r="D8" s="69">
        <v>0.14495373104225545</v>
      </c>
      <c r="E8" s="69">
        <v>9.5540894815599103E-2</v>
      </c>
      <c r="F8" s="69">
        <v>0.1536130862260067</v>
      </c>
      <c r="G8" s="69">
        <v>0</v>
      </c>
      <c r="H8" s="69">
        <v>0.1498562069456312</v>
      </c>
      <c r="I8" s="69">
        <v>0.16482084866003449</v>
      </c>
      <c r="J8" s="69">
        <v>0.18803697263164021</v>
      </c>
      <c r="K8" s="69">
        <v>2.525006913465988E-2</v>
      </c>
      <c r="L8" s="69">
        <v>0.15640010951185529</v>
      </c>
      <c r="M8" s="69">
        <v>0.10040390154806587</v>
      </c>
      <c r="N8" s="69">
        <v>0.19584006349120855</v>
      </c>
      <c r="O8" s="69">
        <v>0.1677130219635454</v>
      </c>
      <c r="P8" s="69">
        <v>0.1129776069433964</v>
      </c>
      <c r="Q8" s="68">
        <v>0.14324566157459268</v>
      </c>
    </row>
    <row r="9" spans="1:17" x14ac:dyDescent="0.35">
      <c r="B9" s="47" t="s">
        <v>5</v>
      </c>
      <c r="C9" s="69">
        <v>0.27373526992531355</v>
      </c>
      <c r="D9" s="69">
        <v>0.27746568959572981</v>
      </c>
      <c r="E9" s="69">
        <v>0.26308814407092657</v>
      </c>
      <c r="F9" s="69">
        <v>0.27913591999277754</v>
      </c>
      <c r="G9" s="69">
        <v>0.23083500491534681</v>
      </c>
      <c r="H9" s="69">
        <v>0.21504359117878469</v>
      </c>
      <c r="I9" s="69">
        <v>0.20570504544002308</v>
      </c>
      <c r="J9" s="69">
        <v>0.25140862882659498</v>
      </c>
      <c r="K9" s="69">
        <v>0.24933882887552059</v>
      </c>
      <c r="L9" s="69">
        <v>0.23376882336782576</v>
      </c>
      <c r="M9" s="69">
        <v>0.1372723537740877</v>
      </c>
      <c r="N9" s="69">
        <v>0.21716737860385613</v>
      </c>
      <c r="O9" s="69">
        <v>0.16495605092441951</v>
      </c>
      <c r="P9" s="69">
        <v>0.3639830951985919</v>
      </c>
      <c r="Q9" s="68">
        <v>0.23751783088988646</v>
      </c>
    </row>
    <row r="10" spans="1:17" x14ac:dyDescent="0.35">
      <c r="B10" s="47" t="s">
        <v>58</v>
      </c>
      <c r="C10" s="69">
        <v>1.1705021975327464E-2</v>
      </c>
      <c r="D10" s="69">
        <v>1.6807795668444717E-2</v>
      </c>
      <c r="E10" s="69">
        <v>8.1322900000800231E-3</v>
      </c>
      <c r="F10" s="69">
        <v>1.5508536690999294E-2</v>
      </c>
      <c r="G10" s="69">
        <v>0</v>
      </c>
      <c r="H10" s="69">
        <v>2.8474074863440123E-2</v>
      </c>
      <c r="I10" s="69">
        <v>4.132266137134466E-2</v>
      </c>
      <c r="J10" s="69">
        <v>2.0488967356118954E-2</v>
      </c>
      <c r="K10" s="69">
        <v>3.0753947246645073E-2</v>
      </c>
      <c r="L10" s="69">
        <v>2.1389969488597591E-2</v>
      </c>
      <c r="M10" s="69">
        <v>1.5920443047345946E-2</v>
      </c>
      <c r="N10" s="69">
        <v>1.2279647704008578E-2</v>
      </c>
      <c r="O10" s="69">
        <v>6.7438125995529959E-3</v>
      </c>
      <c r="P10" s="69">
        <v>1.100457952547103E-2</v>
      </c>
      <c r="Q10" s="68">
        <v>1.6478664143328194E-2</v>
      </c>
    </row>
    <row r="11" spans="1:17" x14ac:dyDescent="0.35">
      <c r="B11" s="47" t="s">
        <v>59</v>
      </c>
      <c r="C11" s="69">
        <v>1.6982514041841965E-3</v>
      </c>
      <c r="D11" s="69">
        <v>4.2493754888149615E-4</v>
      </c>
      <c r="E11" s="69">
        <v>9.9925686639959513E-7</v>
      </c>
      <c r="F11" s="69">
        <v>3.1565573057506287E-5</v>
      </c>
      <c r="G11" s="69">
        <v>0</v>
      </c>
      <c r="H11" s="69">
        <v>2.2393008099398162E-3</v>
      </c>
      <c r="I11" s="69">
        <v>3.8364685284483741E-5</v>
      </c>
      <c r="J11" s="69">
        <v>4.2101830735639684E-4</v>
      </c>
      <c r="K11" s="69">
        <v>0</v>
      </c>
      <c r="L11" s="69">
        <v>5.343978599623968E-5</v>
      </c>
      <c r="M11" s="69">
        <v>0</v>
      </c>
      <c r="N11" s="69">
        <v>2.6063776863642085E-5</v>
      </c>
      <c r="O11" s="69">
        <v>7.9363409670829815E-4</v>
      </c>
      <c r="P11" s="69">
        <v>0</v>
      </c>
      <c r="Q11" s="68">
        <v>6.3355201336329138E-4</v>
      </c>
    </row>
    <row r="12" spans="1:17" ht="15" thickBot="1" x14ac:dyDescent="0.4">
      <c r="A12" s="17"/>
      <c r="B12" s="48"/>
      <c r="C12" s="49">
        <f>SUM(C3:C11)</f>
        <v>0.99999999999999989</v>
      </c>
      <c r="D12" s="49">
        <f t="shared" ref="D12:P12" si="0">SUM(D3:D11)</f>
        <v>1</v>
      </c>
      <c r="E12" s="49">
        <f t="shared" si="0"/>
        <v>1</v>
      </c>
      <c r="F12" s="49">
        <f t="shared" si="0"/>
        <v>0.99999999999999989</v>
      </c>
      <c r="G12" s="49">
        <f t="shared" si="0"/>
        <v>1</v>
      </c>
      <c r="H12" s="49">
        <f t="shared" si="0"/>
        <v>1</v>
      </c>
      <c r="I12" s="49">
        <f t="shared" si="0"/>
        <v>0.99999999999999989</v>
      </c>
      <c r="J12" s="49">
        <f t="shared" si="0"/>
        <v>0.99999999999999989</v>
      </c>
      <c r="K12" s="49">
        <f t="shared" si="0"/>
        <v>1</v>
      </c>
      <c r="L12" s="49">
        <f t="shared" si="0"/>
        <v>1</v>
      </c>
      <c r="M12" s="49">
        <f t="shared" si="0"/>
        <v>0.99999999999999989</v>
      </c>
      <c r="N12" s="49">
        <f t="shared" si="0"/>
        <v>1</v>
      </c>
      <c r="O12" s="49">
        <f t="shared" si="0"/>
        <v>0.99999999999999989</v>
      </c>
      <c r="P12" s="49">
        <f t="shared" si="0"/>
        <v>1</v>
      </c>
      <c r="Q12" s="49">
        <f>SUM(Q3:Q11)</f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zoomScale="59" workbookViewId="0">
      <selection activeCell="G24" sqref="G24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4" width="17.7265625" style="15" bestFit="1" customWidth="1"/>
    <col min="5" max="5" width="16.54296875" style="15" bestFit="1" customWidth="1"/>
    <col min="6" max="9" width="17.7265625" style="15" bestFit="1" customWidth="1"/>
    <col min="10" max="10" width="17.7265625" style="15" customWidth="1"/>
    <col min="11" max="11" width="18.7265625" style="15" bestFit="1" customWidth="1"/>
    <col min="12" max="13" width="18.81640625" style="28" customWidth="1"/>
    <col min="14" max="14" width="20.81640625" style="28" customWidth="1"/>
    <col min="15" max="16384" width="9.1796875" style="28"/>
  </cols>
  <sheetData>
    <row r="1" spans="1:14" x14ac:dyDescent="0.35">
      <c r="A1" s="39" t="str">
        <f>'Fixed rate bond (Values)'!A1</f>
        <v>25 October 2024</v>
      </c>
      <c r="C1" s="32"/>
      <c r="D1" s="32"/>
      <c r="E1" s="32"/>
      <c r="F1" s="32"/>
      <c r="G1" s="32"/>
      <c r="H1" s="32"/>
      <c r="I1" s="32"/>
      <c r="J1" s="32"/>
    </row>
    <row r="2" spans="1:14" x14ac:dyDescent="0.35">
      <c r="A2" s="17"/>
      <c r="B2" s="18" t="s">
        <v>40</v>
      </c>
      <c r="C2" s="40" t="s">
        <v>60</v>
      </c>
      <c r="D2" s="40" t="s">
        <v>61</v>
      </c>
      <c r="E2" s="40" t="s">
        <v>67</v>
      </c>
      <c r="F2" s="40" t="s">
        <v>79</v>
      </c>
      <c r="G2" s="40" t="s">
        <v>62</v>
      </c>
      <c r="H2" s="40" t="s">
        <v>63</v>
      </c>
      <c r="I2" s="40" t="s">
        <v>64</v>
      </c>
      <c r="J2" s="40" t="s">
        <v>81</v>
      </c>
      <c r="K2" s="40" t="s">
        <v>65</v>
      </c>
      <c r="L2" s="22" t="s">
        <v>66</v>
      </c>
      <c r="M2" s="22" t="s">
        <v>82</v>
      </c>
      <c r="N2" s="22" t="s">
        <v>83</v>
      </c>
    </row>
    <row r="3" spans="1:14" x14ac:dyDescent="0.35">
      <c r="B3" s="18" t="s">
        <v>53</v>
      </c>
      <c r="C3" s="70">
        <v>633958803</v>
      </c>
      <c r="D3" s="70">
        <v>95790432</v>
      </c>
      <c r="E3" s="70">
        <v>1601531995</v>
      </c>
      <c r="F3" s="70">
        <v>169800000</v>
      </c>
      <c r="G3" s="70">
        <v>12053410883</v>
      </c>
      <c r="H3" s="70">
        <v>193946358</v>
      </c>
      <c r="I3" s="70">
        <v>4011244606</v>
      </c>
      <c r="J3" s="70">
        <v>68400000</v>
      </c>
      <c r="K3" s="70">
        <v>7726931043</v>
      </c>
      <c r="L3" s="70">
        <v>3313357869</v>
      </c>
      <c r="M3" s="70">
        <v>5000000</v>
      </c>
      <c r="N3" s="20">
        <f>SUM(C3:M3)</f>
        <v>29873371989</v>
      </c>
    </row>
    <row r="4" spans="1:14" x14ac:dyDescent="0.35">
      <c r="B4" s="18" t="s">
        <v>72</v>
      </c>
      <c r="C4" s="70">
        <v>9600854888</v>
      </c>
      <c r="D4" s="70">
        <v>1077031974</v>
      </c>
      <c r="E4" s="70">
        <v>4389796531</v>
      </c>
      <c r="F4" s="70">
        <v>149646270</v>
      </c>
      <c r="G4" s="70">
        <v>3363945621</v>
      </c>
      <c r="H4" s="70">
        <v>4047964910.9699998</v>
      </c>
      <c r="I4" s="70">
        <v>5807697767.8899994</v>
      </c>
      <c r="J4" s="70">
        <v>106174047</v>
      </c>
      <c r="K4" s="70">
        <v>14443842690.99</v>
      </c>
      <c r="L4" s="70">
        <v>13915962900.43</v>
      </c>
      <c r="M4" s="70">
        <v>319991409</v>
      </c>
      <c r="N4" s="20">
        <f t="shared" ref="N4:N11" si="0">SUM(C4:M4)</f>
        <v>57222909010.279999</v>
      </c>
    </row>
    <row r="5" spans="1:14" x14ac:dyDescent="0.35">
      <c r="B5" s="18" t="s">
        <v>54</v>
      </c>
      <c r="C5" s="70">
        <v>3976385508.3000002</v>
      </c>
      <c r="D5" s="70">
        <v>1757147160</v>
      </c>
      <c r="E5" s="70">
        <v>3206170224</v>
      </c>
      <c r="F5" s="70">
        <v>133000000</v>
      </c>
      <c r="G5" s="70">
        <v>2998550945</v>
      </c>
      <c r="H5" s="70">
        <v>1913353027</v>
      </c>
      <c r="I5" s="70">
        <v>5363454872</v>
      </c>
      <c r="J5" s="70">
        <v>110411427</v>
      </c>
      <c r="K5" s="70">
        <v>7126930463</v>
      </c>
      <c r="L5" s="70">
        <v>7349361883</v>
      </c>
      <c r="M5" s="70">
        <v>15000000</v>
      </c>
      <c r="N5" s="20">
        <f t="shared" si="0"/>
        <v>33949765509.299999</v>
      </c>
    </row>
    <row r="6" spans="1:14" x14ac:dyDescent="0.35">
      <c r="B6" s="18" t="s">
        <v>55</v>
      </c>
      <c r="C6" s="70">
        <v>949153892.70000005</v>
      </c>
      <c r="D6" s="70">
        <v>247076309</v>
      </c>
      <c r="E6" s="70">
        <v>1731199428</v>
      </c>
      <c r="F6" s="70">
        <v>17500000</v>
      </c>
      <c r="G6" s="70">
        <v>1612277769</v>
      </c>
      <c r="H6" s="70">
        <v>423794984</v>
      </c>
      <c r="I6" s="70">
        <v>1338022084.55</v>
      </c>
      <c r="J6" s="70">
        <v>2270229</v>
      </c>
      <c r="K6" s="70">
        <v>1726741631</v>
      </c>
      <c r="L6" s="70">
        <v>3278457827.8099999</v>
      </c>
      <c r="M6" s="70">
        <v>10000000</v>
      </c>
      <c r="N6" s="20">
        <f>SUM(C6:M6)</f>
        <v>11336494155.059999</v>
      </c>
    </row>
    <row r="7" spans="1:14" x14ac:dyDescent="0.35">
      <c r="B7" s="18" t="s">
        <v>56</v>
      </c>
      <c r="C7" s="70">
        <v>1722844037</v>
      </c>
      <c r="D7" s="70">
        <v>2721306942.75</v>
      </c>
      <c r="E7" s="70">
        <v>6587492939</v>
      </c>
      <c r="F7" s="70">
        <v>94600000</v>
      </c>
      <c r="G7" s="70">
        <v>8214671523</v>
      </c>
      <c r="H7" s="70">
        <v>3259632473.6399999</v>
      </c>
      <c r="I7" s="70">
        <v>11417728531</v>
      </c>
      <c r="J7" s="70">
        <v>644842149</v>
      </c>
      <c r="K7" s="70">
        <v>13547336644</v>
      </c>
      <c r="L7" s="70">
        <v>17810095284.91</v>
      </c>
      <c r="M7" s="70">
        <v>250400000</v>
      </c>
      <c r="N7" s="20">
        <f t="shared" si="0"/>
        <v>66270950524.300003</v>
      </c>
    </row>
    <row r="8" spans="1:14" x14ac:dyDescent="0.35">
      <c r="B8" s="18" t="s">
        <v>57</v>
      </c>
      <c r="C8" s="70">
        <v>455396229</v>
      </c>
      <c r="D8" s="70">
        <v>19592283590</v>
      </c>
      <c r="E8" s="70">
        <v>35292062205</v>
      </c>
      <c r="F8" s="70">
        <v>1450000000</v>
      </c>
      <c r="G8" s="70">
        <v>44220796765</v>
      </c>
      <c r="H8" s="70">
        <v>23143570306</v>
      </c>
      <c r="I8" s="70">
        <v>57699729793</v>
      </c>
      <c r="J8" s="70">
        <v>7813312000</v>
      </c>
      <c r="K8" s="70">
        <v>52308927794</v>
      </c>
      <c r="L8" s="70">
        <v>60081062378</v>
      </c>
      <c r="M8" s="70">
        <v>2395000000</v>
      </c>
      <c r="N8" s="20">
        <f t="shared" si="0"/>
        <v>304452141060</v>
      </c>
    </row>
    <row r="9" spans="1:14" x14ac:dyDescent="0.35">
      <c r="B9" s="18" t="s">
        <v>5</v>
      </c>
      <c r="C9" s="70">
        <v>12864741800</v>
      </c>
      <c r="D9" s="70">
        <v>5399652316.0200005</v>
      </c>
      <c r="E9" s="70">
        <v>25783361768</v>
      </c>
      <c r="F9" s="70">
        <v>2990918194</v>
      </c>
      <c r="G9" s="70">
        <v>14136119777</v>
      </c>
      <c r="H9" s="70">
        <v>4328708261.3899994</v>
      </c>
      <c r="I9" s="70">
        <v>8107180299.5599995</v>
      </c>
      <c r="J9" s="70">
        <v>1102537564</v>
      </c>
      <c r="K9" s="70">
        <v>9392413877.0099983</v>
      </c>
      <c r="L9" s="70">
        <v>10774326370.85</v>
      </c>
      <c r="M9" s="70">
        <v>509535422</v>
      </c>
      <c r="N9" s="20">
        <f t="shared" si="0"/>
        <v>95389495649.830002</v>
      </c>
    </row>
    <row r="10" spans="1:14" x14ac:dyDescent="0.35">
      <c r="B10" s="18" t="s">
        <v>58</v>
      </c>
      <c r="C10" s="70">
        <v>1351664842</v>
      </c>
      <c r="D10" s="70">
        <v>1017228838.23</v>
      </c>
      <c r="E10" s="70">
        <v>417006703</v>
      </c>
      <c r="F10" s="70">
        <v>29535536</v>
      </c>
      <c r="G10" s="70">
        <v>501569789</v>
      </c>
      <c r="H10" s="70">
        <v>626414678</v>
      </c>
      <c r="I10" s="70">
        <v>1071695883</v>
      </c>
      <c r="J10" s="70">
        <v>0</v>
      </c>
      <c r="K10" s="70">
        <v>1400860122</v>
      </c>
      <c r="L10" s="70">
        <v>1798701389</v>
      </c>
      <c r="M10" s="70">
        <v>32000000</v>
      </c>
      <c r="N10" s="20">
        <f t="shared" si="0"/>
        <v>8246677780.2299995</v>
      </c>
    </row>
    <row r="11" spans="1:14" x14ac:dyDescent="0.35">
      <c r="B11" s="18" t="s">
        <v>59</v>
      </c>
      <c r="C11" s="71">
        <v>0</v>
      </c>
      <c r="D11" s="71">
        <v>300000</v>
      </c>
      <c r="E11" s="71">
        <v>0</v>
      </c>
      <c r="F11" s="71">
        <v>0</v>
      </c>
      <c r="G11" s="71">
        <v>0</v>
      </c>
      <c r="H11" s="71">
        <v>3800000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20">
        <f t="shared" si="0"/>
        <v>4100000</v>
      </c>
    </row>
    <row r="12" spans="1:14" x14ac:dyDescent="0.35">
      <c r="A12" s="17"/>
      <c r="B12" s="18"/>
      <c r="C12" s="33">
        <f>SUM(C3:C11)</f>
        <v>31555000000</v>
      </c>
      <c r="D12" s="33">
        <f t="shared" ref="D12:N12" si="1">SUM(D3:D11)</f>
        <v>31907817562</v>
      </c>
      <c r="E12" s="33">
        <f t="shared" si="1"/>
        <v>79008621793</v>
      </c>
      <c r="F12" s="33">
        <f t="shared" si="1"/>
        <v>5035000000</v>
      </c>
      <c r="G12" s="33">
        <f t="shared" si="1"/>
        <v>87101343072</v>
      </c>
      <c r="H12" s="33">
        <f t="shared" si="1"/>
        <v>37941184999</v>
      </c>
      <c r="I12" s="33">
        <f t="shared" si="1"/>
        <v>94816753837</v>
      </c>
      <c r="J12" s="33">
        <f t="shared" si="1"/>
        <v>9847947416</v>
      </c>
      <c r="K12" s="33">
        <f t="shared" si="1"/>
        <v>107673984264.99998</v>
      </c>
      <c r="L12" s="33">
        <f t="shared" si="1"/>
        <v>118321325903</v>
      </c>
      <c r="M12" s="33">
        <f t="shared" si="1"/>
        <v>3536926831</v>
      </c>
      <c r="N12" s="33">
        <f t="shared" si="1"/>
        <v>606745905678</v>
      </c>
    </row>
    <row r="13" spans="1:14" x14ac:dyDescent="0.35">
      <c r="C13" s="26"/>
      <c r="D13" s="26"/>
      <c r="E13" s="26"/>
      <c r="F13" s="26"/>
      <c r="G13" s="26"/>
      <c r="H13" s="26"/>
      <c r="I13" s="26"/>
      <c r="J13" s="26"/>
      <c r="K13" s="26"/>
      <c r="L13" s="42"/>
      <c r="M13" s="42"/>
    </row>
    <row r="14" spans="1:14" x14ac:dyDescent="0.35">
      <c r="C14" s="34"/>
      <c r="D14" s="34"/>
      <c r="E14" s="34"/>
      <c r="F14" s="34"/>
      <c r="G14" s="34"/>
      <c r="H14" s="34"/>
      <c r="I14" s="34"/>
      <c r="J14" s="34"/>
      <c r="K14" s="34"/>
      <c r="L14" s="42"/>
      <c r="M14" s="42"/>
    </row>
    <row r="15" spans="1:14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1:14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3:13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spans="3:13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spans="3:13" x14ac:dyDescent="0.35">
      <c r="C19" s="26"/>
      <c r="D19" s="26"/>
      <c r="E19" s="26"/>
      <c r="F19" s="26"/>
      <c r="G19" s="26"/>
      <c r="H19" s="26"/>
      <c r="I19" s="26"/>
      <c r="J19" s="26"/>
      <c r="K19" s="26"/>
      <c r="L19" s="26" t="s">
        <v>89</v>
      </c>
      <c r="M19" s="26"/>
    </row>
    <row r="20" spans="3:13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3:13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3:13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spans="3:13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3:13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zoomScale="85" zoomScaleNormal="73" workbookViewId="0">
      <selection activeCell="J14" sqref="J14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.26953125" style="15" bestFit="1" customWidth="1"/>
    <col min="4" max="4" width="11" style="15" bestFit="1" customWidth="1"/>
    <col min="5" max="5" width="11" style="15" customWidth="1"/>
    <col min="6" max="6" width="11" style="15" bestFit="1" customWidth="1"/>
    <col min="7" max="9" width="11.26953125" style="15" bestFit="1" customWidth="1"/>
    <col min="10" max="10" width="11.26953125" style="15" customWidth="1"/>
    <col min="11" max="11" width="11.7265625" style="28" customWidth="1"/>
    <col min="12" max="13" width="11.08984375" style="28" bestFit="1" customWidth="1"/>
    <col min="14" max="16384" width="9.1796875" style="28"/>
  </cols>
  <sheetData>
    <row r="1" spans="1:14" x14ac:dyDescent="0.35">
      <c r="A1" s="39" t="str">
        <f>'Fixed rate bond (Values)'!A1</f>
        <v>25 October 2024</v>
      </c>
    </row>
    <row r="2" spans="1:14" x14ac:dyDescent="0.35">
      <c r="A2" s="17"/>
      <c r="B2" s="18"/>
      <c r="C2" s="22" t="s">
        <v>60</v>
      </c>
      <c r="D2" s="22" t="s">
        <v>61</v>
      </c>
      <c r="E2" s="22" t="s">
        <v>67</v>
      </c>
      <c r="F2" s="22" t="s">
        <v>79</v>
      </c>
      <c r="G2" s="22" t="s">
        <v>62</v>
      </c>
      <c r="H2" s="22" t="s">
        <v>63</v>
      </c>
      <c r="I2" s="22" t="s">
        <v>64</v>
      </c>
      <c r="J2" s="22" t="s">
        <v>81</v>
      </c>
      <c r="K2" s="22" t="s">
        <v>65</v>
      </c>
      <c r="L2" s="43" t="s">
        <v>66</v>
      </c>
      <c r="M2" s="43" t="s">
        <v>82</v>
      </c>
      <c r="N2" s="43" t="s">
        <v>71</v>
      </c>
    </row>
    <row r="3" spans="1:14" x14ac:dyDescent="0.35">
      <c r="B3" s="18" t="s">
        <v>53</v>
      </c>
      <c r="C3" s="72">
        <v>2.0090597464744099E-2</v>
      </c>
      <c r="D3" s="72">
        <v>3.0020991505880917E-3</v>
      </c>
      <c r="E3" s="72">
        <v>2.0270344661826419E-2</v>
      </c>
      <c r="F3" s="72">
        <v>3.3723932472691162E-2</v>
      </c>
      <c r="G3" s="72">
        <v>0.13838375457696869</v>
      </c>
      <c r="H3" s="72">
        <v>5.111763325397237E-3</v>
      </c>
      <c r="I3" s="72">
        <v>4.2305230285522667E-2</v>
      </c>
      <c r="J3" s="72">
        <v>6.945609791627263E-3</v>
      </c>
      <c r="K3" s="72">
        <v>7.1762284044240399E-2</v>
      </c>
      <c r="L3" s="72">
        <v>2.8003048847815445E-2</v>
      </c>
      <c r="M3" s="72">
        <v>1.413656611772866E-3</v>
      </c>
      <c r="N3" s="72">
        <v>4.9235391140577053E-2</v>
      </c>
    </row>
    <row r="4" spans="1:14" x14ac:dyDescent="0.35">
      <c r="B4" s="18" t="s">
        <v>72</v>
      </c>
      <c r="C4" s="72">
        <v>0.30425780028521626</v>
      </c>
      <c r="D4" s="72">
        <v>3.3754485774754789E-2</v>
      </c>
      <c r="E4" s="72">
        <v>5.5560980958522771E-2</v>
      </c>
      <c r="F4" s="72">
        <v>2.9721205561072491E-2</v>
      </c>
      <c r="G4" s="72">
        <v>3.8621053388571566E-2</v>
      </c>
      <c r="H4" s="72">
        <v>0.1066905240591903</v>
      </c>
      <c r="I4" s="72">
        <v>6.1251809757946835E-2</v>
      </c>
      <c r="J4" s="72">
        <v>1.078133772602183E-2</v>
      </c>
      <c r="K4" s="72">
        <v>0.13414422053373434</v>
      </c>
      <c r="L4" s="72">
        <v>0.11761162067976087</v>
      </c>
      <c r="M4" s="72">
        <v>9.0471594208673067E-2</v>
      </c>
      <c r="N4" s="72">
        <v>9.4311158056084504E-2</v>
      </c>
    </row>
    <row r="5" spans="1:14" x14ac:dyDescent="0.35">
      <c r="B5" s="18" t="s">
        <v>54</v>
      </c>
      <c r="C5" s="72">
        <v>0.12601443537632706</v>
      </c>
      <c r="D5" s="72">
        <v>5.5069487488001702E-2</v>
      </c>
      <c r="E5" s="72">
        <v>4.0580004450654274E-2</v>
      </c>
      <c r="F5" s="72">
        <v>2.6415094339622643E-2</v>
      </c>
      <c r="G5" s="72">
        <v>3.4426001244565518E-2</v>
      </c>
      <c r="H5" s="72">
        <v>5.0429448290833019E-2</v>
      </c>
      <c r="I5" s="72">
        <v>5.6566531282228293E-2</v>
      </c>
      <c r="J5" s="72">
        <v>1.121161825261314E-2</v>
      </c>
      <c r="K5" s="72">
        <v>6.6189901967959847E-2</v>
      </c>
      <c r="L5" s="72">
        <v>6.2113586261068589E-2</v>
      </c>
      <c r="M5" s="72">
        <v>4.240969835318598E-3</v>
      </c>
      <c r="N5" s="72">
        <v>5.5953843596790807E-2</v>
      </c>
    </row>
    <row r="6" spans="1:14" x14ac:dyDescent="0.35">
      <c r="B6" s="18" t="s">
        <v>55</v>
      </c>
      <c r="C6" s="72">
        <v>3.0079350109332912E-2</v>
      </c>
      <c r="D6" s="72">
        <v>7.7434411965000942E-3</v>
      </c>
      <c r="E6" s="72">
        <v>2.1911525460293256E-2</v>
      </c>
      <c r="F6" s="72">
        <v>3.4756703078450842E-3</v>
      </c>
      <c r="G6" s="72">
        <v>1.851036634035888E-2</v>
      </c>
      <c r="H6" s="72">
        <v>1.1169787765225829E-2</v>
      </c>
      <c r="I6" s="72">
        <v>1.4111663080664005E-2</v>
      </c>
      <c r="J6" s="72">
        <v>2.305281399362013E-4</v>
      </c>
      <c r="K6" s="72">
        <v>1.603675802272032E-2</v>
      </c>
      <c r="L6" s="72">
        <v>2.7708088992323198E-2</v>
      </c>
      <c r="M6" s="72">
        <v>2.827313223545732E-3</v>
      </c>
      <c r="N6" s="72">
        <v>1.8684088428074661E-2</v>
      </c>
    </row>
    <row r="7" spans="1:14" x14ac:dyDescent="0.35">
      <c r="B7" s="18" t="s">
        <v>56</v>
      </c>
      <c r="C7" s="72">
        <v>5.4598131421327842E-2</v>
      </c>
      <c r="D7" s="72">
        <v>8.5286526960430167E-2</v>
      </c>
      <c r="E7" s="72">
        <v>8.3376887097955155E-2</v>
      </c>
      <c r="F7" s="72">
        <v>1.8788480635551143E-2</v>
      </c>
      <c r="G7" s="72">
        <v>9.4311651614941927E-2</v>
      </c>
      <c r="H7" s="72">
        <v>8.5912774567423564E-2</v>
      </c>
      <c r="I7" s="72">
        <v>0.12041889295881485</v>
      </c>
      <c r="J7" s="72">
        <v>6.5479852984625234E-2</v>
      </c>
      <c r="K7" s="72">
        <v>0.12581810486977249</v>
      </c>
      <c r="L7" s="72">
        <v>0.15052312124621339</v>
      </c>
      <c r="M7" s="72">
        <v>7.0795923117585133E-2</v>
      </c>
      <c r="N7" s="72">
        <v>0.10922356443468115</v>
      </c>
    </row>
    <row r="8" spans="1:14" x14ac:dyDescent="0.35">
      <c r="B8" s="18" t="s">
        <v>57</v>
      </c>
      <c r="C8" s="72">
        <v>1.4431824718745049E-2</v>
      </c>
      <c r="D8" s="72">
        <v>0.614027692490415</v>
      </c>
      <c r="E8" s="72">
        <v>0.44668621479645659</v>
      </c>
      <c r="F8" s="72">
        <v>0.28798411122144985</v>
      </c>
      <c r="G8" s="72">
        <v>0.50769362681865948</v>
      </c>
      <c r="H8" s="72">
        <v>0.60998543684415718</v>
      </c>
      <c r="I8" s="72">
        <v>0.60853939264986778</v>
      </c>
      <c r="J8" s="72">
        <v>0.79339497561752614</v>
      </c>
      <c r="K8" s="72">
        <v>0.48580841649976264</v>
      </c>
      <c r="L8" s="72">
        <v>0.50777881264831792</v>
      </c>
      <c r="M8" s="72">
        <v>0.67714151703920278</v>
      </c>
      <c r="N8" s="72">
        <v>0.50177864936689454</v>
      </c>
    </row>
    <row r="9" spans="1:14" x14ac:dyDescent="0.35">
      <c r="B9" s="18" t="s">
        <v>5</v>
      </c>
      <c r="C9" s="72">
        <v>0.40769265726509268</v>
      </c>
      <c r="D9" s="72">
        <v>0.16922662621872994</v>
      </c>
      <c r="E9" s="72">
        <v>0.32633605273550476</v>
      </c>
      <c r="F9" s="72">
        <v>0.59402546057596817</v>
      </c>
      <c r="G9" s="72">
        <v>0.16229508384635072</v>
      </c>
      <c r="H9" s="72">
        <v>0.11408995953879905</v>
      </c>
      <c r="I9" s="72">
        <v>8.5503668618492235E-2</v>
      </c>
      <c r="J9" s="72">
        <v>0.11195607748765014</v>
      </c>
      <c r="K9" s="72">
        <v>8.7230113579655599E-2</v>
      </c>
      <c r="L9" s="72">
        <v>9.1059885347150427E-2</v>
      </c>
      <c r="M9" s="72">
        <v>0.14406162364855549</v>
      </c>
      <c r="N9" s="72">
        <v>0.15721489796167359</v>
      </c>
    </row>
    <row r="10" spans="1:14" x14ac:dyDescent="0.35">
      <c r="B10" s="18" t="s">
        <v>58</v>
      </c>
      <c r="C10" s="72">
        <v>4.283520335921407E-2</v>
      </c>
      <c r="D10" s="72">
        <v>3.1880238635983965E-2</v>
      </c>
      <c r="E10" s="72">
        <v>5.2779898387867582E-3</v>
      </c>
      <c r="F10" s="72">
        <v>5.8660448857994043E-3</v>
      </c>
      <c r="G10" s="72">
        <v>5.7584621695832032E-3</v>
      </c>
      <c r="H10" s="72">
        <v>1.6510150592726879E-2</v>
      </c>
      <c r="I10" s="72">
        <v>1.1302811366463338E-2</v>
      </c>
      <c r="J10" s="72">
        <v>0</v>
      </c>
      <c r="K10" s="72">
        <v>1.301020048215451E-2</v>
      </c>
      <c r="L10" s="72">
        <v>1.520183597735017E-2</v>
      </c>
      <c r="M10" s="72">
        <v>9.0474023153463423E-3</v>
      </c>
      <c r="N10" s="72">
        <v>1.3591649656069555E-2</v>
      </c>
    </row>
    <row r="11" spans="1:14" x14ac:dyDescent="0.35">
      <c r="B11" s="18" t="s">
        <v>59</v>
      </c>
      <c r="C11" s="72">
        <v>0</v>
      </c>
      <c r="D11" s="72">
        <v>9.4020845962614255E-6</v>
      </c>
      <c r="E11" s="72">
        <v>0</v>
      </c>
      <c r="F11" s="72">
        <v>0</v>
      </c>
      <c r="G11" s="72">
        <v>0</v>
      </c>
      <c r="H11" s="72">
        <v>1.001550162468609E-4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6.7573591541891176E-6</v>
      </c>
    </row>
    <row r="12" spans="1:14" x14ac:dyDescent="0.35">
      <c r="B12" s="23"/>
      <c r="C12" s="21">
        <f>SUM(C3:C11)</f>
        <v>1</v>
      </c>
      <c r="D12" s="21">
        <f t="shared" ref="D12:N12" si="0">SUM(D3:D11)</f>
        <v>1</v>
      </c>
      <c r="E12" s="21">
        <f t="shared" si="0"/>
        <v>1</v>
      </c>
      <c r="F12" s="21">
        <f t="shared" si="0"/>
        <v>1</v>
      </c>
      <c r="G12" s="21">
        <f t="shared" si="0"/>
        <v>1</v>
      </c>
      <c r="H12" s="21">
        <f t="shared" si="0"/>
        <v>0.99999999999999989</v>
      </c>
      <c r="I12" s="21">
        <f t="shared" si="0"/>
        <v>1</v>
      </c>
      <c r="J12" s="21">
        <f t="shared" si="0"/>
        <v>0.99999999999999989</v>
      </c>
      <c r="K12" s="21">
        <f t="shared" si="0"/>
        <v>1</v>
      </c>
      <c r="L12" s="21">
        <f t="shared" si="0"/>
        <v>0.99999999999999989</v>
      </c>
      <c r="M12" s="21">
        <f t="shared" si="0"/>
        <v>1</v>
      </c>
      <c r="N12" s="21">
        <f t="shared" si="0"/>
        <v>1</v>
      </c>
    </row>
    <row r="13" spans="1:14" x14ac:dyDescent="0.35">
      <c r="C13" s="30"/>
      <c r="D13" s="30"/>
      <c r="E13" s="30"/>
      <c r="F13" s="30"/>
      <c r="G13" s="30"/>
      <c r="H13" s="30"/>
      <c r="I13" s="30"/>
      <c r="J13" s="30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F12" sqref="F12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5" width="15.6328125" style="15" bestFit="1" customWidth="1"/>
    <col min="6" max="6" width="14.6328125" style="15" bestFit="1" customWidth="1"/>
    <col min="7" max="7" width="11" style="15" bestFit="1" customWidth="1"/>
    <col min="8" max="10" width="11.26953125" style="15" bestFit="1" customWidth="1"/>
    <col min="11" max="11" width="11.7265625" style="28" customWidth="1"/>
    <col min="12" max="16384" width="9.1796875" style="28"/>
  </cols>
  <sheetData>
    <row r="1" spans="1:13" x14ac:dyDescent="0.35">
      <c r="A1" s="39" t="str">
        <f>'Fixed rate bond (Values)'!A1</f>
        <v>25 October 2024</v>
      </c>
    </row>
    <row r="2" spans="1:13" x14ac:dyDescent="0.35">
      <c r="A2" s="17"/>
      <c r="B2" s="18" t="s">
        <v>40</v>
      </c>
      <c r="C2" s="18" t="s">
        <v>76</v>
      </c>
      <c r="D2" s="53" t="s">
        <v>80</v>
      </c>
      <c r="E2" s="53" t="s">
        <v>52</v>
      </c>
      <c r="K2" s="15"/>
      <c r="L2" s="15"/>
    </row>
    <row r="3" spans="1:13" x14ac:dyDescent="0.35">
      <c r="B3" s="18" t="s">
        <v>53</v>
      </c>
      <c r="C3" s="73">
        <v>314814011</v>
      </c>
      <c r="D3" s="73">
        <v>475570000</v>
      </c>
      <c r="E3" s="54">
        <f>SUM(C3:D3)</f>
        <v>790384011</v>
      </c>
      <c r="K3" s="15"/>
      <c r="L3" s="15"/>
      <c r="M3" s="50"/>
    </row>
    <row r="4" spans="1:13" x14ac:dyDescent="0.35">
      <c r="B4" s="18" t="s">
        <v>72</v>
      </c>
      <c r="C4" s="73">
        <v>52877138000</v>
      </c>
      <c r="D4" s="73">
        <v>29980291000</v>
      </c>
      <c r="E4" s="54">
        <f t="shared" ref="E4:E11" si="0">SUM(C4:D4)</f>
        <v>82857429000</v>
      </c>
      <c r="K4" s="15"/>
      <c r="L4" s="15"/>
      <c r="M4" s="50"/>
    </row>
    <row r="5" spans="1:13" x14ac:dyDescent="0.35">
      <c r="B5" s="18" t="s">
        <v>54</v>
      </c>
      <c r="C5" s="73">
        <v>1304750000</v>
      </c>
      <c r="D5" s="73">
        <v>5540680000</v>
      </c>
      <c r="E5" s="54">
        <f t="shared" si="0"/>
        <v>6845430000</v>
      </c>
      <c r="K5" s="15"/>
      <c r="L5" s="15"/>
      <c r="M5" s="50"/>
    </row>
    <row r="6" spans="1:13" x14ac:dyDescent="0.35">
      <c r="B6" s="18" t="s">
        <v>55</v>
      </c>
      <c r="C6" s="73">
        <v>1360500000</v>
      </c>
      <c r="D6" s="73">
        <v>543900000</v>
      </c>
      <c r="E6" s="54">
        <f t="shared" si="0"/>
        <v>1904400000</v>
      </c>
      <c r="K6" s="15"/>
      <c r="L6" s="15"/>
      <c r="M6" s="50"/>
    </row>
    <row r="7" spans="1:13" x14ac:dyDescent="0.35">
      <c r="B7" s="18" t="s">
        <v>56</v>
      </c>
      <c r="C7" s="73">
        <v>55300000</v>
      </c>
      <c r="D7" s="73">
        <v>789570000</v>
      </c>
      <c r="E7" s="54">
        <f t="shared" si="0"/>
        <v>844870000</v>
      </c>
      <c r="K7" s="15"/>
      <c r="L7" s="15"/>
      <c r="M7" s="50"/>
    </row>
    <row r="8" spans="1:13" x14ac:dyDescent="0.35">
      <c r="B8" s="18" t="s">
        <v>57</v>
      </c>
      <c r="C8" s="73">
        <v>48950000</v>
      </c>
      <c r="D8" s="73">
        <v>172160000</v>
      </c>
      <c r="E8" s="54">
        <f t="shared" si="0"/>
        <v>221110000</v>
      </c>
      <c r="K8" s="15"/>
      <c r="L8" s="15"/>
      <c r="M8" s="50"/>
    </row>
    <row r="9" spans="1:13" x14ac:dyDescent="0.35">
      <c r="B9" s="18" t="s">
        <v>5</v>
      </c>
      <c r="C9" s="73">
        <v>15089949386</v>
      </c>
      <c r="D9" s="73">
        <v>37115729000</v>
      </c>
      <c r="E9" s="54">
        <f t="shared" si="0"/>
        <v>52205678386</v>
      </c>
      <c r="K9" s="15"/>
      <c r="L9" s="15"/>
      <c r="M9" s="50"/>
    </row>
    <row r="10" spans="1:13" x14ac:dyDescent="0.35">
      <c r="B10" s="18" t="s">
        <v>58</v>
      </c>
      <c r="C10" s="73">
        <v>23598603</v>
      </c>
      <c r="D10" s="73">
        <v>252100000</v>
      </c>
      <c r="E10" s="54">
        <f t="shared" si="0"/>
        <v>275698603</v>
      </c>
      <c r="K10" s="15"/>
      <c r="L10" s="15"/>
      <c r="M10" s="50"/>
    </row>
    <row r="11" spans="1:13" x14ac:dyDescent="0.35">
      <c r="B11" s="19" t="s">
        <v>59</v>
      </c>
      <c r="C11" s="74">
        <v>0</v>
      </c>
      <c r="D11" s="74">
        <v>0</v>
      </c>
      <c r="E11" s="54">
        <f t="shared" si="0"/>
        <v>0</v>
      </c>
      <c r="K11" s="15"/>
      <c r="L11" s="15"/>
      <c r="M11" s="50"/>
    </row>
    <row r="12" spans="1:13" x14ac:dyDescent="0.35">
      <c r="B12" s="19"/>
      <c r="C12" s="20">
        <f>SUM(C3:C11)</f>
        <v>71075000000</v>
      </c>
      <c r="D12" s="20">
        <f t="shared" ref="D12:E12" si="1">SUM(D3:D11)</f>
        <v>74870000000</v>
      </c>
      <c r="E12" s="20">
        <f t="shared" si="1"/>
        <v>145945000000</v>
      </c>
      <c r="F12" s="26"/>
      <c r="K12" s="15"/>
      <c r="L12" s="15"/>
    </row>
    <row r="13" spans="1:13" x14ac:dyDescent="0.35">
      <c r="C13" s="30"/>
      <c r="D13" s="30"/>
      <c r="K13" s="15"/>
      <c r="L13" s="15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C4" sqref="C4:E12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4" width="13.26953125" style="15" bestFit="1" customWidth="1"/>
    <col min="5" max="16384" width="8.7265625" style="15"/>
  </cols>
  <sheetData>
    <row r="1" spans="1:5" ht="14" x14ac:dyDescent="0.3">
      <c r="A1" s="39" t="str">
        <f>'Fixed rate bond (Values)'!A1</f>
        <v>25 October 2024</v>
      </c>
    </row>
    <row r="3" spans="1:5" ht="13" x14ac:dyDescent="0.3">
      <c r="B3" s="18" t="s">
        <v>40</v>
      </c>
      <c r="C3" s="22" t="s">
        <v>76</v>
      </c>
      <c r="D3" s="43" t="s">
        <v>80</v>
      </c>
      <c r="E3" s="43" t="s">
        <v>71</v>
      </c>
    </row>
    <row r="4" spans="1:5" ht="13" x14ac:dyDescent="0.3">
      <c r="B4" s="18" t="s">
        <v>53</v>
      </c>
      <c r="C4" s="75">
        <v>4.4293212944073162E-3</v>
      </c>
      <c r="D4" s="77">
        <v>6.351943368505409E-3</v>
      </c>
      <c r="E4" s="76">
        <v>5.4156292507451433E-3</v>
      </c>
    </row>
    <row r="5" spans="1:5" ht="13" x14ac:dyDescent="0.3">
      <c r="B5" s="18" t="s">
        <v>72</v>
      </c>
      <c r="C5" s="75">
        <v>0.74396254660569816</v>
      </c>
      <c r="D5" s="77">
        <v>0.40043129424335516</v>
      </c>
      <c r="E5" s="76">
        <v>0.56773050806810788</v>
      </c>
    </row>
    <row r="6" spans="1:5" ht="13" x14ac:dyDescent="0.3">
      <c r="B6" s="18" t="s">
        <v>54</v>
      </c>
      <c r="C6" s="75">
        <v>1.8357368976433346E-2</v>
      </c>
      <c r="D6" s="77">
        <v>7.4004006945371972E-2</v>
      </c>
      <c r="E6" s="76">
        <v>4.6904176230771866E-2</v>
      </c>
    </row>
    <row r="7" spans="1:5" ht="13" x14ac:dyDescent="0.3">
      <c r="B7" s="18" t="s">
        <v>55</v>
      </c>
      <c r="C7" s="75">
        <v>1.9141751670770313E-2</v>
      </c>
      <c r="D7" s="77">
        <v>7.2645919593962872E-3</v>
      </c>
      <c r="E7" s="76">
        <v>1.3048751241906197E-2</v>
      </c>
    </row>
    <row r="8" spans="1:5" ht="13" x14ac:dyDescent="0.3">
      <c r="B8" s="18" t="s">
        <v>56</v>
      </c>
      <c r="C8" s="75">
        <v>7.7805135420330632E-4</v>
      </c>
      <c r="D8" s="77">
        <v>1.0545879524509149E-2</v>
      </c>
      <c r="E8" s="76">
        <v>5.78896159512145E-3</v>
      </c>
    </row>
    <row r="9" spans="1:5" ht="13" x14ac:dyDescent="0.3">
      <c r="B9" s="18" t="s">
        <v>57</v>
      </c>
      <c r="C9" s="75">
        <v>6.8870911009497006E-4</v>
      </c>
      <c r="D9" s="77">
        <v>2.2994523841324962E-3</v>
      </c>
      <c r="E9" s="76">
        <v>1.5150227825550722E-3</v>
      </c>
    </row>
    <row r="10" spans="1:5" ht="13" x14ac:dyDescent="0.3">
      <c r="B10" s="18" t="s">
        <v>5</v>
      </c>
      <c r="C10" s="75">
        <v>0.21231022702778754</v>
      </c>
      <c r="D10" s="77">
        <v>0.49573566181381062</v>
      </c>
      <c r="E10" s="76">
        <v>0.35770789260337799</v>
      </c>
    </row>
    <row r="11" spans="1:5" ht="13" x14ac:dyDescent="0.3">
      <c r="B11" s="18" t="s">
        <v>58</v>
      </c>
      <c r="C11" s="75">
        <v>3.3202396060499472E-4</v>
      </c>
      <c r="D11" s="77">
        <v>3.3671697609189261E-3</v>
      </c>
      <c r="E11" s="76">
        <v>1.889058227414437E-3</v>
      </c>
    </row>
    <row r="12" spans="1:5" ht="13" x14ac:dyDescent="0.3">
      <c r="B12" s="18" t="s">
        <v>59</v>
      </c>
      <c r="C12" s="75">
        <v>0</v>
      </c>
      <c r="D12" s="77">
        <v>0</v>
      </c>
      <c r="E12" s="76">
        <v>0</v>
      </c>
    </row>
    <row r="13" spans="1:5" ht="13" x14ac:dyDescent="0.3">
      <c r="B13" s="23"/>
      <c r="C13" s="21">
        <f>SUM(C4:C12)</f>
        <v>0.99999999999999989</v>
      </c>
      <c r="D13" s="21">
        <f t="shared" ref="D13:E13" si="0">SUM(D4:D12)</f>
        <v>0.99999999999999989</v>
      </c>
      <c r="E13" s="21">
        <f t="shared" si="0"/>
        <v>1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workbookViewId="0">
      <selection activeCell="C3" sqref="C3:F11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6" width="14.26953125" bestFit="1" customWidth="1"/>
    <col min="7" max="7" width="14.6328125" style="59" bestFit="1" customWidth="1"/>
  </cols>
  <sheetData>
    <row r="1" spans="1:7" x14ac:dyDescent="0.35">
      <c r="A1" s="63" t="str">
        <f>'FRN % (Values)'!A1</f>
        <v>25 October 2024</v>
      </c>
    </row>
    <row r="2" spans="1:7" x14ac:dyDescent="0.35">
      <c r="B2" s="18" t="s">
        <v>40</v>
      </c>
      <c r="C2" s="18" t="s">
        <v>85</v>
      </c>
      <c r="D2" s="53" t="s">
        <v>86</v>
      </c>
      <c r="E2" s="53" t="s">
        <v>87</v>
      </c>
      <c r="F2" s="53" t="s">
        <v>88</v>
      </c>
      <c r="G2" s="18" t="s">
        <v>52</v>
      </c>
    </row>
    <row r="3" spans="1:7" x14ac:dyDescent="0.35">
      <c r="B3" s="18" t="s">
        <v>53</v>
      </c>
      <c r="C3" s="78">
        <v>0</v>
      </c>
      <c r="D3" s="78">
        <v>0</v>
      </c>
      <c r="E3" s="78">
        <v>0</v>
      </c>
      <c r="F3" s="78">
        <v>0</v>
      </c>
      <c r="G3" s="53">
        <f t="shared" ref="G3:G11" si="0">SUM(C3:F3)</f>
        <v>0</v>
      </c>
    </row>
    <row r="4" spans="1:7" x14ac:dyDescent="0.35">
      <c r="B4" s="18" t="s">
        <v>72</v>
      </c>
      <c r="C4" s="78">
        <v>5863785000</v>
      </c>
      <c r="D4" s="78">
        <v>7877000000</v>
      </c>
      <c r="E4" s="78">
        <v>1240000000</v>
      </c>
      <c r="F4" s="78">
        <v>621000000</v>
      </c>
      <c r="G4" s="53">
        <f t="shared" si="0"/>
        <v>15601785000</v>
      </c>
    </row>
    <row r="5" spans="1:7" x14ac:dyDescent="0.35">
      <c r="B5" s="18" t="s">
        <v>54</v>
      </c>
      <c r="C5" s="78">
        <v>28500000</v>
      </c>
      <c r="D5" s="78">
        <v>30495000</v>
      </c>
      <c r="E5" s="78">
        <v>30700000</v>
      </c>
      <c r="F5" s="78">
        <v>0</v>
      </c>
      <c r="G5" s="53">
        <f t="shared" si="0"/>
        <v>89695000</v>
      </c>
    </row>
    <row r="6" spans="1:7" x14ac:dyDescent="0.35">
      <c r="B6" s="18" t="s">
        <v>55</v>
      </c>
      <c r="C6" s="78">
        <v>0</v>
      </c>
      <c r="D6" s="78">
        <v>0</v>
      </c>
      <c r="E6" s="78">
        <v>0</v>
      </c>
      <c r="F6" s="78">
        <v>0</v>
      </c>
      <c r="G6" s="53">
        <f t="shared" si="0"/>
        <v>0</v>
      </c>
    </row>
    <row r="7" spans="1:7" x14ac:dyDescent="0.35">
      <c r="B7" s="18" t="s">
        <v>56</v>
      </c>
      <c r="C7" s="78">
        <v>0</v>
      </c>
      <c r="D7" s="78">
        <v>8500000</v>
      </c>
      <c r="E7" s="78">
        <v>8500000</v>
      </c>
      <c r="F7" s="78">
        <v>0</v>
      </c>
      <c r="G7" s="53">
        <f t="shared" si="0"/>
        <v>17000000</v>
      </c>
    </row>
    <row r="8" spans="1:7" x14ac:dyDescent="0.35">
      <c r="B8" s="18" t="s">
        <v>57</v>
      </c>
      <c r="C8" s="78">
        <v>35000000</v>
      </c>
      <c r="D8" s="78">
        <v>40000000</v>
      </c>
      <c r="E8" s="78">
        <v>97000000</v>
      </c>
      <c r="F8" s="78">
        <v>138000000</v>
      </c>
      <c r="G8" s="53">
        <f t="shared" si="0"/>
        <v>310000000</v>
      </c>
    </row>
    <row r="9" spans="1:7" x14ac:dyDescent="0.35">
      <c r="B9" s="18" t="s">
        <v>5</v>
      </c>
      <c r="C9" s="78">
        <v>1562715000</v>
      </c>
      <c r="D9" s="78">
        <v>877964077</v>
      </c>
      <c r="E9" s="78">
        <v>1097710000</v>
      </c>
      <c r="F9" s="78">
        <v>783000000</v>
      </c>
      <c r="G9" s="53">
        <f t="shared" si="0"/>
        <v>4321389077</v>
      </c>
    </row>
    <row r="10" spans="1:7" x14ac:dyDescent="0.35">
      <c r="B10" s="18" t="s">
        <v>58</v>
      </c>
      <c r="C10" s="78">
        <v>0</v>
      </c>
      <c r="D10" s="78">
        <v>32040923</v>
      </c>
      <c r="E10" s="78">
        <v>5090000</v>
      </c>
      <c r="F10" s="78">
        <v>9000000</v>
      </c>
      <c r="G10" s="53">
        <f t="shared" si="0"/>
        <v>46130923</v>
      </c>
    </row>
    <row r="11" spans="1:7" x14ac:dyDescent="0.35">
      <c r="B11" s="19" t="s">
        <v>59</v>
      </c>
      <c r="C11" s="79">
        <v>0</v>
      </c>
      <c r="D11" s="79">
        <v>0</v>
      </c>
      <c r="E11" s="79">
        <v>0</v>
      </c>
      <c r="F11" s="79">
        <v>0</v>
      </c>
      <c r="G11" s="53">
        <f t="shared" si="0"/>
        <v>0</v>
      </c>
    </row>
    <row r="12" spans="1:7" x14ac:dyDescent="0.35">
      <c r="B12" s="19"/>
      <c r="C12" s="20">
        <f>SUM(C3:C11)</f>
        <v>7490000000</v>
      </c>
      <c r="D12" s="20">
        <f t="shared" ref="D12:F12" si="1">SUM(D3:D11)</f>
        <v>8866000000</v>
      </c>
      <c r="E12" s="20">
        <f t="shared" si="1"/>
        <v>2479000000</v>
      </c>
      <c r="F12" s="20">
        <f t="shared" si="1"/>
        <v>1551000000</v>
      </c>
      <c r="G12" s="20">
        <f>SUM(G3:G11)</f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workbookViewId="0">
      <selection activeCell="C3" sqref="C3:G11"/>
    </sheetView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59"/>
  </cols>
  <sheetData>
    <row r="1" spans="1:7" x14ac:dyDescent="0.35">
      <c r="A1" s="63" t="str">
        <f>'Sukuk (Values)'!A1</f>
        <v>25 October 2024</v>
      </c>
    </row>
    <row r="2" spans="1:7" x14ac:dyDescent="0.35">
      <c r="B2" s="18" t="s">
        <v>40</v>
      </c>
      <c r="C2" s="22" t="s">
        <v>85</v>
      </c>
      <c r="D2" s="43" t="s">
        <v>86</v>
      </c>
      <c r="E2" s="43" t="s">
        <v>87</v>
      </c>
      <c r="F2" s="43" t="s">
        <v>88</v>
      </c>
      <c r="G2" s="22" t="s">
        <v>71</v>
      </c>
    </row>
    <row r="3" spans="1:7" x14ac:dyDescent="0.35">
      <c r="B3" s="18" t="s">
        <v>53</v>
      </c>
      <c r="C3" s="80">
        <v>0</v>
      </c>
      <c r="D3" s="80">
        <v>0</v>
      </c>
      <c r="E3" s="80">
        <v>0</v>
      </c>
      <c r="F3" s="80">
        <v>0</v>
      </c>
      <c r="G3" s="81">
        <v>0</v>
      </c>
    </row>
    <row r="4" spans="1:7" x14ac:dyDescent="0.35">
      <c r="B4" s="18" t="s">
        <v>72</v>
      </c>
      <c r="C4" s="80">
        <v>0.78288184245660886</v>
      </c>
      <c r="D4" s="80">
        <v>0.88845025941800138</v>
      </c>
      <c r="E4" s="80">
        <v>0.50020169423154492</v>
      </c>
      <c r="F4" s="80">
        <v>0.40038684719535783</v>
      </c>
      <c r="G4" s="81">
        <v>0.76531860100068672</v>
      </c>
    </row>
    <row r="5" spans="1:7" x14ac:dyDescent="0.35">
      <c r="B5" s="18" t="s">
        <v>54</v>
      </c>
      <c r="C5" s="80">
        <v>3.8050734312416556E-3</v>
      </c>
      <c r="D5" s="80">
        <v>3.439544326641101E-3</v>
      </c>
      <c r="E5" s="80">
        <v>1.2384025816861637E-2</v>
      </c>
      <c r="F5" s="80">
        <v>0</v>
      </c>
      <c r="G5" s="81">
        <v>4.3998332188756994E-3</v>
      </c>
    </row>
    <row r="6" spans="1:7" x14ac:dyDescent="0.35">
      <c r="B6" s="18" t="s">
        <v>55</v>
      </c>
      <c r="C6" s="80">
        <v>0</v>
      </c>
      <c r="D6" s="80">
        <v>0</v>
      </c>
      <c r="E6" s="80">
        <v>0</v>
      </c>
      <c r="F6" s="80">
        <v>0</v>
      </c>
      <c r="G6" s="81">
        <v>0</v>
      </c>
    </row>
    <row r="7" spans="1:7" x14ac:dyDescent="0.35">
      <c r="B7" s="18" t="s">
        <v>56</v>
      </c>
      <c r="C7" s="80">
        <v>0</v>
      </c>
      <c r="D7" s="80">
        <v>9.5871870065418452E-4</v>
      </c>
      <c r="E7" s="80">
        <v>3.4288019362646227E-3</v>
      </c>
      <c r="F7" s="80">
        <v>0</v>
      </c>
      <c r="G7" s="81">
        <v>8.339056215049544E-4</v>
      </c>
    </row>
    <row r="8" spans="1:7" x14ac:dyDescent="0.35">
      <c r="B8" s="18" t="s">
        <v>57</v>
      </c>
      <c r="C8" s="80">
        <v>4.6728971962616819E-3</v>
      </c>
      <c r="D8" s="80">
        <v>4.5116174148432213E-3</v>
      </c>
      <c r="E8" s="80">
        <v>3.9128680919725697E-2</v>
      </c>
      <c r="F8" s="80">
        <v>8.8974854932301742E-2</v>
      </c>
      <c r="G8" s="81">
        <v>1.5206514274502109E-2</v>
      </c>
    </row>
    <row r="9" spans="1:7" x14ac:dyDescent="0.35">
      <c r="B9" s="18" t="s">
        <v>5</v>
      </c>
      <c r="C9" s="80">
        <v>0.20864018691588784</v>
      </c>
      <c r="D9" s="80">
        <v>9.9025950484998876E-2</v>
      </c>
      <c r="E9" s="80">
        <v>0.4428035498184752</v>
      </c>
      <c r="F9" s="80">
        <v>0.50483558994197297</v>
      </c>
      <c r="G9" s="81">
        <v>0.21197827317767096</v>
      </c>
    </row>
    <row r="10" spans="1:7" x14ac:dyDescent="0.35">
      <c r="B10" s="18" t="s">
        <v>58</v>
      </c>
      <c r="C10" s="80">
        <v>0</v>
      </c>
      <c r="D10" s="80">
        <v>3.6139096548612679E-3</v>
      </c>
      <c r="E10" s="80">
        <v>2.0532472771278743E-3</v>
      </c>
      <c r="F10" s="80">
        <v>5.8027079303675051E-3</v>
      </c>
      <c r="G10" s="81">
        <v>2.2628727067595411E-3</v>
      </c>
    </row>
    <row r="11" spans="1:7" x14ac:dyDescent="0.35">
      <c r="B11" s="18" t="s">
        <v>59</v>
      </c>
      <c r="C11" s="80">
        <v>0</v>
      </c>
      <c r="D11" s="80">
        <v>0</v>
      </c>
      <c r="E11" s="80">
        <v>0</v>
      </c>
      <c r="F11" s="80">
        <v>0</v>
      </c>
      <c r="G11" s="81">
        <v>0</v>
      </c>
    </row>
    <row r="12" spans="1:7" x14ac:dyDescent="0.35">
      <c r="B12" s="23"/>
      <c r="C12" s="21">
        <f>SUM(C3:C11)</f>
        <v>1</v>
      </c>
      <c r="D12" s="21">
        <f t="shared" ref="D12:G12" si="0">SUM(D3:D11)</f>
        <v>1</v>
      </c>
      <c r="E12" s="21">
        <f t="shared" si="0"/>
        <v>0.99999999999999989</v>
      </c>
      <c r="F12" s="21">
        <f t="shared" si="0"/>
        <v>1</v>
      </c>
      <c r="G12" s="21">
        <f t="shared" si="0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Herold Maboa</cp:lastModifiedBy>
  <dcterms:created xsi:type="dcterms:W3CDTF">2016-03-09T09:54:02Z</dcterms:created>
  <dcterms:modified xsi:type="dcterms:W3CDTF">2024-11-06T07:49:32Z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