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atreasury-my.sharepoint.com/personal/david_milne_treasury_gov_za/Documents/HDrive/DIM online/Investor Relations Website/Holdings/2023/October/"/>
    </mc:Choice>
  </mc:AlternateContent>
  <xr:revisionPtr revIDLastSave="20" documentId="8_{0CDFE184-E333-4F90-A498-5A3838575F1F}" xr6:coauthVersionLast="47" xr6:coauthVersionMax="47" xr10:uidLastSave="{20AC0A52-B9E2-4A1B-93F4-E9F509530E82}"/>
  <bookViews>
    <workbookView xWindow="-98" yWindow="-98" windowWidth="23596" windowHeight="15196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5"/>
  <c r="A1" i="6"/>
  <c r="A1" i="7"/>
  <c r="A1" i="3"/>
</calcChain>
</file>

<file path=xl/sharedStrings.xml><?xml version="1.0" encoding="utf-8"?>
<sst xmlns="http://schemas.openxmlformats.org/spreadsheetml/2006/main" count="294" uniqueCount="86">
  <si>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</si>
  <si>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</si>
  <si>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</si>
  <si>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</si>
  <si>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</si>
  <si>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</si>
  <si>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</si>
  <si>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</si>
  <si>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</si>
  <si>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</si>
  <si>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</si>
  <si>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</si>
  <si>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</si>
  <si>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</si>
  <si>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</si>
  <si>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</si>
  <si>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</si>
  <si>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</si>
  <si>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</si>
  <si>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</si>
  <si>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</si>
  <si>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</si>
  <si>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</si>
  <si>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</si>
  <si>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</si>
  <si>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</si>
  <si>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</si>
  <si>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</si>
  <si>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</si>
  <si>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</si>
  <si>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</si>
  <si>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</si>
  <si>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</si>
  <si>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</si>
  <si>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</si>
  <si>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</si>
  <si>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</si>
  <si>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</si>
  <si>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</si>
  <si>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</si>
  <si>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</si>
  <si>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</si>
  <si>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</si>
  <si>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</si>
  <si>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</si>
  <si>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</si>
  <si>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</si>
  <si>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</si>
  <si>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</si>
  <si>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</si>
  <si>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</si>
  <si>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</si>
  <si>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</si>
  <si>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</si>
  <si>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</si>
  <si>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</si>
  <si>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</si>
  <si>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</si>
  <si>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</si>
  <si>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</si>
  <si>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R197 (2023)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</si>
  <si>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</si>
  <si>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</si>
  <si>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</si>
  <si>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</si>
  <si>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</si>
  <si>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</si>
  <si>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</si>
  <si>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</si>
  <si>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</si>
  <si>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</si>
  <si>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</si>
  <si>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</si>
  <si>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</si>
  <si>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</si>
  <si>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</si>
  <si>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</si>
  <si>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</si>
  <si>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</si>
  <si>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</si>
  <si>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</si>
  <si>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</si>
  <si>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</si>
  <si>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</si>
  <si>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27 October 2023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</si>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</sst>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0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workbookViewId="0">
      <pane ySplit="1" topLeftCell="A143" activePane="bottomLeft" state="frozen"/>
      <selection pane="bottomLeft" activeCell="H160" sqref="H160"/>
    </sheetView>
  </sheetViews>
  <sheetFormatPr defaultRowHeight="14.25" x14ac:dyDescent="0.45"/>
  <cols>
    <col min="1" max="1" width="10.19921875" style="65" customWidth="1"/>
    <col min="2" max="2" width="12" customWidth="1"/>
    <col min="3" max="3" width="24.73046875" customWidth="1"/>
    <col min="4" max="4" width="27.265625" customWidth="1"/>
    <col min="5" max="5" width="10.73046875" customWidth="1"/>
    <col min="6" max="6" width="18" customWidth="1"/>
    <col min="7" max="7" width="26.19921875" bestFit="1" customWidth="1"/>
    <col min="8" max="8" width="10.265625" bestFit="1" customWidth="1"/>
  </cols>
  <sheetData>
    <row r="1" spans="1:8" x14ac:dyDescent="0.45">
      <c r="A1" s="69" t="s">
        <v>0</v>
      </c>
      <c r="B1" s="69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45">
      <c r="A2" s="63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45">
      <c r="A3" s="63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45">
      <c r="A4" s="63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45">
      <c r="A5" s="63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45">
      <c r="A6" s="63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45">
      <c r="A7" s="64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4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4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4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4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4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4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4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4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4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45">
      <c r="A17" s="64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4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4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4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4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4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4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4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4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4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4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4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45">
      <c r="A29" s="64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4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4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4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4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4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4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4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4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4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4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45">
      <c r="A40" s="64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4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4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4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4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4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4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4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4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45">
      <c r="A49" s="66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4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4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45">
      <c r="A52" s="67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4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4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4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4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4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4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4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4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4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4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4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45">
      <c r="A64" s="62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4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4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4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4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4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4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4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4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4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4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4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45">
      <c r="A76" s="62" t="s">
        <v>69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4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4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4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4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4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4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45">
      <c r="A83" s="68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4.65" thickBot="1" x14ac:dyDescent="0.5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45">
      <c r="A85" s="68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45">
      <c r="A86" s="68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4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45">
      <c r="A88" s="61" t="s">
        <v>70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4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4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4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4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4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4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4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4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4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4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4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45">
      <c r="A100" s="61" t="s">
        <v>71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4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4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4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4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4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4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4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4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4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4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4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45">
      <c r="A112" s="61" t="s">
        <v>74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4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4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4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4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4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4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4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4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4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4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4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45">
      <c r="A124" s="61" t="s">
        <v>75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4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4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4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4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4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4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4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4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4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4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4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45">
      <c r="A136" s="61" t="s">
        <v>76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4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4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4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6"/>
    </row>
    <row r="140" spans="1:10" x14ac:dyDescent="0.4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4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4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4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4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4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4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4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45">
      <c r="A148" s="61" t="s">
        <v>78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4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4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4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4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4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4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4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4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4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workbookViewId="0">
      <selection activeCell="C37" sqref="C37"/>
    </sheetView>
  </sheetViews>
  <sheetFormatPr defaultRowHeight="14.25" x14ac:dyDescent="0.45"/>
  <cols>
    <col min="1" max="1" width="19.73046875" style="15" bestFit="1" customWidth="1"/>
    <col min="2" max="2" width="29.73046875" style="16" bestFit="1" customWidth="1"/>
    <col min="3" max="3" width="17.796875" style="15" bestFit="1" customWidth="1"/>
    <col min="4" max="7" width="18.73046875" style="15" bestFit="1" customWidth="1"/>
    <col min="8" max="8" width="17.796875" style="15" bestFit="1" customWidth="1"/>
    <col min="9" max="10" width="18.73046875" style="15" bestFit="1" customWidth="1"/>
    <col min="11" max="12" width="17.796875" style="15" bestFit="1" customWidth="1"/>
    <col min="13" max="13" width="20.46484375" style="15" bestFit="1" customWidth="1"/>
    <col min="14" max="14" width="22.53125" customWidth="1"/>
    <col min="15" max="15" width="20.265625" bestFit="1" customWidth="1"/>
    <col min="16" max="16" width="20.53125" bestFit="1" customWidth="1"/>
  </cols>
  <sheetData>
    <row r="1" spans="1:16" x14ac:dyDescent="0.45">
      <c r="A1" s="39" t="s">
        <v>84</v>
      </c>
    </row>
    <row r="2" spans="1:16" x14ac:dyDescent="0.4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45</v>
      </c>
      <c r="H2" s="41" t="s">
        <v>46</v>
      </c>
      <c r="I2" s="41" t="s">
        <v>47</v>
      </c>
      <c r="J2" s="41" t="s">
        <v>48</v>
      </c>
      <c r="K2" s="41" t="s">
        <v>49</v>
      </c>
      <c r="L2" s="31" t="s">
        <v>50</v>
      </c>
      <c r="M2" s="31" t="s">
        <v>51</v>
      </c>
      <c r="N2" s="31" t="s">
        <v>79</v>
      </c>
      <c r="O2" s="57" t="s">
        <v>52</v>
      </c>
    </row>
    <row r="3" spans="1:16" x14ac:dyDescent="0.45">
      <c r="B3" s="18" t="s">
        <v>53</v>
      </c>
      <c r="C3" s="51">
        <v>147270657957.89001</v>
      </c>
      <c r="D3" s="51">
        <v>104986066767</v>
      </c>
      <c r="E3" s="51">
        <v>57647580301</v>
      </c>
      <c r="F3" s="51">
        <v>81312549751</v>
      </c>
      <c r="G3" s="51">
        <v>96564464588</v>
      </c>
      <c r="H3" s="51">
        <v>30778258401</v>
      </c>
      <c r="I3" s="51">
        <v>78307322525</v>
      </c>
      <c r="J3" s="51">
        <v>59590392495</v>
      </c>
      <c r="K3" s="51">
        <v>45681094434</v>
      </c>
      <c r="L3" s="51">
        <v>60795581219</v>
      </c>
      <c r="M3" s="51">
        <v>90413703984</v>
      </c>
      <c r="N3" s="50">
        <v>8428812179</v>
      </c>
      <c r="O3" s="60">
        <v>861776484601.89001</v>
      </c>
      <c r="P3" s="55"/>
    </row>
    <row r="4" spans="1:16" x14ac:dyDescent="0.45">
      <c r="B4" s="18" t="s">
        <v>73</v>
      </c>
      <c r="C4" s="51">
        <v>97045292065.649994</v>
      </c>
      <c r="D4" s="51">
        <v>85980322697.529999</v>
      </c>
      <c r="E4" s="51">
        <v>53391516035</v>
      </c>
      <c r="F4" s="51">
        <v>70738140694.199997</v>
      </c>
      <c r="G4" s="51">
        <v>38614181195.800003</v>
      </c>
      <c r="H4" s="51">
        <v>13366855420</v>
      </c>
      <c r="I4" s="51">
        <v>27667804446.689999</v>
      </c>
      <c r="J4" s="51">
        <v>28391070743</v>
      </c>
      <c r="K4" s="51">
        <v>10215051943</v>
      </c>
      <c r="L4" s="51">
        <v>20541076090.099998</v>
      </c>
      <c r="M4" s="51">
        <v>114705065882.58</v>
      </c>
      <c r="N4" s="50">
        <v>4089735468</v>
      </c>
      <c r="O4" s="60">
        <v>564746112681.54993</v>
      </c>
    </row>
    <row r="5" spans="1:16" x14ac:dyDescent="0.45">
      <c r="B5" s="18" t="s">
        <v>54</v>
      </c>
      <c r="C5" s="51">
        <v>20134286349.900002</v>
      </c>
      <c r="D5" s="51">
        <v>11892087844</v>
      </c>
      <c r="E5" s="51">
        <v>7677031897.5</v>
      </c>
      <c r="F5" s="51">
        <v>10477463900</v>
      </c>
      <c r="G5" s="51">
        <v>17999990124</v>
      </c>
      <c r="H5" s="51">
        <v>7145584572</v>
      </c>
      <c r="I5" s="51">
        <v>20898400413</v>
      </c>
      <c r="J5" s="51">
        <v>23541320262</v>
      </c>
      <c r="K5" s="51">
        <v>7257297580</v>
      </c>
      <c r="L5" s="51">
        <v>26740799691</v>
      </c>
      <c r="M5" s="51">
        <v>37263128441</v>
      </c>
      <c r="N5" s="50">
        <v>3630383362</v>
      </c>
      <c r="O5" s="60">
        <v>194657774436.39999</v>
      </c>
    </row>
    <row r="6" spans="1:16" x14ac:dyDescent="0.45">
      <c r="B6" s="18" t="s">
        <v>55</v>
      </c>
      <c r="C6" s="51">
        <v>2517421574</v>
      </c>
      <c r="D6" s="51">
        <v>3927541794</v>
      </c>
      <c r="E6" s="51">
        <v>1026159834</v>
      </c>
      <c r="F6" s="51">
        <v>3271824450</v>
      </c>
      <c r="G6" s="51">
        <v>3059748071</v>
      </c>
      <c r="H6" s="51">
        <v>695623955</v>
      </c>
      <c r="I6" s="51">
        <v>3450446513</v>
      </c>
      <c r="J6" s="51">
        <v>2197516820</v>
      </c>
      <c r="K6" s="51">
        <v>683929846</v>
      </c>
      <c r="L6" s="51">
        <v>1716821369</v>
      </c>
      <c r="M6" s="51">
        <v>3752010672</v>
      </c>
      <c r="N6" s="50">
        <v>22485000</v>
      </c>
      <c r="O6" s="60">
        <v>26321529898</v>
      </c>
    </row>
    <row r="7" spans="1:16" x14ac:dyDescent="0.45">
      <c r="B7" s="18" t="s">
        <v>56</v>
      </c>
      <c r="C7" s="51">
        <v>1742591247.73</v>
      </c>
      <c r="D7" s="51">
        <v>6468967182</v>
      </c>
      <c r="E7" s="51">
        <v>3596115023</v>
      </c>
      <c r="F7" s="51">
        <v>10752846468</v>
      </c>
      <c r="G7" s="51">
        <v>10968866703</v>
      </c>
      <c r="H7" s="51">
        <v>4293572741</v>
      </c>
      <c r="I7" s="51">
        <v>8792009113</v>
      </c>
      <c r="J7" s="51">
        <v>7136372838</v>
      </c>
      <c r="K7" s="51">
        <v>1871839983</v>
      </c>
      <c r="L7" s="51">
        <v>8420188006</v>
      </c>
      <c r="M7" s="51">
        <v>9985102406</v>
      </c>
      <c r="N7" s="50">
        <v>654488730</v>
      </c>
      <c r="O7" s="60">
        <v>74682960440.729996</v>
      </c>
    </row>
    <row r="8" spans="1:16" x14ac:dyDescent="0.45">
      <c r="B8" s="18" t="s">
        <v>57</v>
      </c>
      <c r="C8" s="51">
        <v>30308343366.510002</v>
      </c>
      <c r="D8" s="51">
        <v>49323597825</v>
      </c>
      <c r="E8" s="51">
        <v>18812726243</v>
      </c>
      <c r="F8" s="51">
        <v>42890705119</v>
      </c>
      <c r="G8" s="51">
        <v>38841995761</v>
      </c>
      <c r="H8" s="51">
        <v>15189715794</v>
      </c>
      <c r="I8" s="51">
        <v>55174754251</v>
      </c>
      <c r="J8" s="51">
        <v>36408739855</v>
      </c>
      <c r="K8" s="51">
        <v>8600206536</v>
      </c>
      <c r="L8" s="51">
        <v>48869338909</v>
      </c>
      <c r="M8" s="51">
        <v>62457838980</v>
      </c>
      <c r="N8" s="50">
        <v>480356130</v>
      </c>
      <c r="O8" s="60">
        <v>407358318769.51001</v>
      </c>
    </row>
    <row r="9" spans="1:16" x14ac:dyDescent="0.45">
      <c r="B9" s="18" t="s">
        <v>5</v>
      </c>
      <c r="C9" s="51">
        <v>58967512770.759995</v>
      </c>
      <c r="D9" s="51">
        <v>83186157675.470001</v>
      </c>
      <c r="E9" s="51">
        <v>41558131906.5</v>
      </c>
      <c r="F9" s="51">
        <v>84523061484</v>
      </c>
      <c r="G9" s="51">
        <v>77560570989.199997</v>
      </c>
      <c r="H9" s="51">
        <v>28338691639</v>
      </c>
      <c r="I9" s="51">
        <v>76502375465</v>
      </c>
      <c r="J9" s="51">
        <v>59194472170</v>
      </c>
      <c r="K9" s="51">
        <v>17461493665</v>
      </c>
      <c r="L9" s="51">
        <v>70803459325</v>
      </c>
      <c r="M9" s="51">
        <v>59170205176.419998</v>
      </c>
      <c r="N9" s="50">
        <v>10086031971</v>
      </c>
      <c r="O9" s="60">
        <v>667352164237.34998</v>
      </c>
    </row>
    <row r="10" spans="1:16" x14ac:dyDescent="0.45">
      <c r="B10" s="18" t="s">
        <v>58</v>
      </c>
      <c r="C10" s="51">
        <v>17134564961.450001</v>
      </c>
      <c r="D10" s="51">
        <v>14092275213</v>
      </c>
      <c r="E10" s="51">
        <v>1228200004</v>
      </c>
      <c r="F10" s="51">
        <v>6186742505.8000002</v>
      </c>
      <c r="G10" s="51">
        <v>6627411564</v>
      </c>
      <c r="H10" s="51">
        <v>4450249623</v>
      </c>
      <c r="I10" s="51">
        <v>3364000894.3099999</v>
      </c>
      <c r="J10" s="51">
        <v>4884101120</v>
      </c>
      <c r="K10" s="51">
        <v>1610942509</v>
      </c>
      <c r="L10" s="51">
        <v>2507466331.9000001</v>
      </c>
      <c r="M10" s="51">
        <v>2897613004</v>
      </c>
      <c r="N10" s="50">
        <v>272930173</v>
      </c>
      <c r="O10" s="60">
        <v>65256497903.459999</v>
      </c>
    </row>
    <row r="11" spans="1:16" x14ac:dyDescent="0.45">
      <c r="A11" s="17"/>
      <c r="B11" s="19" t="s">
        <v>59</v>
      </c>
      <c r="C11" s="52">
        <v>554085945</v>
      </c>
      <c r="D11" s="52">
        <v>246643033</v>
      </c>
      <c r="E11" s="52">
        <v>6700000</v>
      </c>
      <c r="F11" s="52">
        <v>9570000</v>
      </c>
      <c r="G11" s="52">
        <v>349642440</v>
      </c>
      <c r="H11" s="52">
        <v>4000000</v>
      </c>
      <c r="I11" s="52">
        <v>1618300</v>
      </c>
      <c r="J11" s="52">
        <v>438882150</v>
      </c>
      <c r="K11" s="52">
        <v>0</v>
      </c>
      <c r="L11" s="52">
        <v>140780000</v>
      </c>
      <c r="M11" s="52">
        <v>0</v>
      </c>
      <c r="N11" s="50">
        <v>0</v>
      </c>
      <c r="O11" s="60">
        <v>1751921868</v>
      </c>
    </row>
    <row r="12" spans="1:16" x14ac:dyDescent="0.45">
      <c r="B12" s="19"/>
      <c r="C12" s="20">
        <v>375674756238.89001</v>
      </c>
      <c r="D12" s="20">
        <v>360103660031</v>
      </c>
      <c r="E12" s="20">
        <v>184944161244</v>
      </c>
      <c r="F12" s="20">
        <v>310162904372</v>
      </c>
      <c r="G12" s="20">
        <v>290586871436</v>
      </c>
      <c r="H12" s="20">
        <v>104262552145</v>
      </c>
      <c r="I12" s="20">
        <v>274158731921</v>
      </c>
      <c r="J12" s="20">
        <v>221782868453</v>
      </c>
      <c r="K12" s="20">
        <v>93381856496</v>
      </c>
      <c r="L12" s="20">
        <v>240535510941</v>
      </c>
      <c r="M12" s="20">
        <v>380644668546</v>
      </c>
      <c r="N12" s="20">
        <v>27665223013</v>
      </c>
      <c r="O12" s="20">
        <v>2863903764836.8896</v>
      </c>
    </row>
    <row r="13" spans="1:16" x14ac:dyDescent="0.45">
      <c r="M13"/>
    </row>
    <row r="15" spans="1:16" x14ac:dyDescent="0.4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27" spans="3:14" x14ac:dyDescent="0.4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>
      <selection activeCell="B2" sqref="B2:O12"/>
    </sheetView>
  </sheetViews>
  <sheetFormatPr defaultColWidth="9.19921875" defaultRowHeight="14.25" x14ac:dyDescent="0.45"/>
  <cols>
    <col min="1" max="1" width="19.73046875" style="15" bestFit="1" customWidth="1"/>
    <col min="2" max="2" width="29.73046875" style="15" bestFit="1" customWidth="1"/>
    <col min="3" max="8" width="12" style="15" bestFit="1" customWidth="1"/>
    <col min="9" max="9" width="11" style="15" bestFit="1" customWidth="1"/>
    <col min="10" max="10" width="12" style="15" bestFit="1" customWidth="1"/>
    <col min="11" max="11" width="12" style="15" customWidth="1"/>
    <col min="12" max="12" width="11" style="15" bestFit="1" customWidth="1"/>
    <col min="13" max="14" width="12" style="15" bestFit="1" customWidth="1"/>
    <col min="15" max="15" width="11.33203125" style="28" bestFit="1" customWidth="1"/>
    <col min="16" max="16384" width="9.19921875" style="28"/>
  </cols>
  <sheetData>
    <row r="1" spans="1:15" ht="14.65" thickBot="1" x14ac:dyDescent="0.5">
      <c r="A1" s="39" t="str">
        <f>'Fixed rate bond (Values)'!A1</f>
        <v>27 October 2023</v>
      </c>
    </row>
    <row r="2" spans="1:15" ht="14.65" thickBot="1" x14ac:dyDescent="0.5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46</v>
      </c>
      <c r="I2" s="45" t="s">
        <v>47</v>
      </c>
      <c r="J2" s="45" t="s">
        <v>48</v>
      </c>
      <c r="K2" s="45" t="s">
        <v>49</v>
      </c>
      <c r="L2" s="45" t="s">
        <v>50</v>
      </c>
      <c r="M2" s="45" t="s">
        <v>51</v>
      </c>
      <c r="N2" s="45" t="s">
        <v>79</v>
      </c>
      <c r="O2" s="45" t="s">
        <v>72</v>
      </c>
    </row>
    <row r="3" spans="1:15" x14ac:dyDescent="0.45">
      <c r="B3" s="46" t="s">
        <v>53</v>
      </c>
      <c r="C3" s="58">
        <v>0.39201637989282734</v>
      </c>
      <c r="D3" s="58">
        <v>0.29154401473720687</v>
      </c>
      <c r="E3" s="58">
        <v>0.31170262371756935</v>
      </c>
      <c r="F3" s="58">
        <v>0.26216078262368925</v>
      </c>
      <c r="G3" s="58">
        <v>0.33230842161177176</v>
      </c>
      <c r="H3" s="58">
        <v>0.2951995492897207</v>
      </c>
      <c r="I3" s="58">
        <v>0.28562767990758209</v>
      </c>
      <c r="J3" s="58">
        <v>0.26868798708692115</v>
      </c>
      <c r="K3" s="58">
        <v>0.48918597410790121</v>
      </c>
      <c r="L3" s="58">
        <v>0.2527509596448414</v>
      </c>
      <c r="M3" s="58">
        <v>0.23752783489485213</v>
      </c>
      <c r="N3" s="58">
        <v>0.30467175974107519</v>
      </c>
      <c r="O3" s="58">
        <v>0.30090972161244095</v>
      </c>
    </row>
    <row r="4" spans="1:15" x14ac:dyDescent="0.45">
      <c r="B4" s="47" t="s">
        <v>73</v>
      </c>
      <c r="C4" s="58">
        <v>0.25832263268692801</v>
      </c>
      <c r="D4" s="58">
        <v>0.23876547850174104</v>
      </c>
      <c r="E4" s="58">
        <v>0.28868992497989521</v>
      </c>
      <c r="F4" s="58">
        <v>0.22806770151132841</v>
      </c>
      <c r="G4" s="58">
        <v>0.13288343346338874</v>
      </c>
      <c r="H4" s="58">
        <v>0.12820380035787393</v>
      </c>
      <c r="I4" s="58">
        <v>0.10091892478793123</v>
      </c>
      <c r="J4" s="58">
        <v>0.12801291164207576</v>
      </c>
      <c r="K4" s="58">
        <v>0.10939011416460284</v>
      </c>
      <c r="L4" s="58">
        <v>8.5397270489256105E-2</v>
      </c>
      <c r="M4" s="58">
        <v>0.30134420723856314</v>
      </c>
      <c r="N4" s="59">
        <v>0.1478294776831626</v>
      </c>
      <c r="O4" s="59">
        <v>0.19719451456977097</v>
      </c>
    </row>
    <row r="5" spans="1:15" x14ac:dyDescent="0.45">
      <c r="B5" s="47" t="s">
        <v>54</v>
      </c>
      <c r="C5" s="58">
        <v>5.3594994115326429E-2</v>
      </c>
      <c r="D5" s="58">
        <v>3.3024068244616712E-2</v>
      </c>
      <c r="E5" s="58">
        <v>4.1509998725353436E-2</v>
      </c>
      <c r="F5" s="58">
        <v>3.3780519050832875E-2</v>
      </c>
      <c r="G5" s="58">
        <v>6.1943576580211705E-2</v>
      </c>
      <c r="H5" s="58">
        <v>6.8534525819610614E-2</v>
      </c>
      <c r="I5" s="58">
        <v>7.6227374800602599E-2</v>
      </c>
      <c r="J5" s="58">
        <v>0.1061458011892783</v>
      </c>
      <c r="K5" s="58">
        <v>7.771635574958681E-2</v>
      </c>
      <c r="L5" s="58">
        <v>0.11117194125053387</v>
      </c>
      <c r="M5" s="58">
        <v>9.7894786188229083E-2</v>
      </c>
      <c r="N5" s="59">
        <v>0.13122552311593758</v>
      </c>
      <c r="O5" s="59">
        <v>6.7969383897048125E-2</v>
      </c>
    </row>
    <row r="6" spans="1:15" x14ac:dyDescent="0.45">
      <c r="B6" s="47" t="s">
        <v>55</v>
      </c>
      <c r="C6" s="58">
        <v>6.7010666332852614E-3</v>
      </c>
      <c r="D6" s="58">
        <v>1.0906697792690838E-2</v>
      </c>
      <c r="E6" s="58">
        <v>5.5484846188043196E-3</v>
      </c>
      <c r="F6" s="58">
        <v>1.0548729083591096E-2</v>
      </c>
      <c r="G6" s="58">
        <v>1.0529546830108224E-2</v>
      </c>
      <c r="H6" s="58">
        <v>6.6718485274807199E-3</v>
      </c>
      <c r="I6" s="58">
        <v>1.258557948828805E-2</v>
      </c>
      <c r="J6" s="58">
        <v>9.9084155387127899E-3</v>
      </c>
      <c r="K6" s="58">
        <v>7.3240120903924847E-3</v>
      </c>
      <c r="L6" s="58">
        <v>7.1374965063728665E-3</v>
      </c>
      <c r="M6" s="58">
        <v>9.8569899490043127E-3</v>
      </c>
      <c r="N6" s="59">
        <v>8.127532530438742E-4</v>
      </c>
      <c r="O6" s="59">
        <v>9.1907871420739279E-3</v>
      </c>
    </row>
    <row r="7" spans="1:15" x14ac:dyDescent="0.45">
      <c r="B7" s="47" t="s">
        <v>56</v>
      </c>
      <c r="C7" s="58">
        <v>4.6385635946800041E-3</v>
      </c>
      <c r="D7" s="58">
        <v>1.7964180595784866E-2</v>
      </c>
      <c r="E7" s="58">
        <v>1.9444328487102567E-2</v>
      </c>
      <c r="F7" s="58">
        <v>3.4668383344461338E-2</v>
      </c>
      <c r="G7" s="58">
        <v>3.7747289300424661E-2</v>
      </c>
      <c r="H7" s="58">
        <v>4.1180391738625803E-2</v>
      </c>
      <c r="I7" s="58">
        <v>3.2069046465875307E-2</v>
      </c>
      <c r="J7" s="58">
        <v>3.2177295242767287E-2</v>
      </c>
      <c r="K7" s="58">
        <v>2.0045007169890439E-2</v>
      </c>
      <c r="L7" s="58">
        <v>3.5006007940612788E-2</v>
      </c>
      <c r="M7" s="58">
        <v>2.6232082651102006E-2</v>
      </c>
      <c r="N7" s="59">
        <v>2.3657453608541421E-2</v>
      </c>
      <c r="O7" s="59">
        <v>2.6077328909473143E-2</v>
      </c>
    </row>
    <row r="8" spans="1:15" x14ac:dyDescent="0.45">
      <c r="B8" s="47" t="s">
        <v>57</v>
      </c>
      <c r="C8" s="58">
        <v>8.0677082671046049E-2</v>
      </c>
      <c r="D8" s="58">
        <v>0.13697055403645136</v>
      </c>
      <c r="E8" s="58">
        <v>0.10172111472164859</v>
      </c>
      <c r="F8" s="58">
        <v>0.1382844450913388</v>
      </c>
      <c r="G8" s="58">
        <v>0.13366741439161925</v>
      </c>
      <c r="H8" s="58">
        <v>0.14568716649939051</v>
      </c>
      <c r="I8" s="58">
        <v>0.20125112873260168</v>
      </c>
      <c r="J8" s="58">
        <v>0.16416389646757457</v>
      </c>
      <c r="K8" s="58">
        <v>9.2097189525980228E-2</v>
      </c>
      <c r="L8" s="58">
        <v>0.20316891554938415</v>
      </c>
      <c r="M8" s="58">
        <v>0.16408436565939219</v>
      </c>
      <c r="N8" s="59">
        <v>1.7363175773941121E-2</v>
      </c>
      <c r="O8" s="59">
        <v>0.14223882931091109</v>
      </c>
    </row>
    <row r="9" spans="1:15" x14ac:dyDescent="0.45">
      <c r="B9" s="47" t="s">
        <v>5</v>
      </c>
      <c r="C9" s="58">
        <v>0.15696426707271968</v>
      </c>
      <c r="D9" s="58">
        <v>0.23100614325416413</v>
      </c>
      <c r="E9" s="58">
        <v>0.22470637422109069</v>
      </c>
      <c r="F9" s="58">
        <v>0.27251183262917089</v>
      </c>
      <c r="G9" s="58">
        <v>0.26691010025992257</v>
      </c>
      <c r="H9" s="58">
        <v>0.27180124652606641</v>
      </c>
      <c r="I9" s="58">
        <v>0.27904409583804352</v>
      </c>
      <c r="J9" s="58">
        <v>0.266902816177366</v>
      </c>
      <c r="K9" s="58">
        <v>0.18699021758844514</v>
      </c>
      <c r="L9" s="58">
        <v>0.2943576150066553</v>
      </c>
      <c r="M9" s="58">
        <v>0.15544735041854243</v>
      </c>
      <c r="N9" s="59">
        <v>0.36457439603000968</v>
      </c>
      <c r="O9" s="59">
        <v>0.23302185374771428</v>
      </c>
    </row>
    <row r="10" spans="1:15" x14ac:dyDescent="0.45">
      <c r="B10" s="47" t="s">
        <v>58</v>
      </c>
      <c r="C10" s="58">
        <v>4.5610104690010637E-2</v>
      </c>
      <c r="D10" s="58">
        <v>3.9133940520867931E-2</v>
      </c>
      <c r="E10" s="58">
        <v>6.6409233778384315E-3</v>
      </c>
      <c r="F10" s="58">
        <v>1.9946751911955947E-2</v>
      </c>
      <c r="G10" s="58">
        <v>2.2806988943613191E-2</v>
      </c>
      <c r="H10" s="58">
        <v>4.2683106555946849E-2</v>
      </c>
      <c r="I10" s="58">
        <v>1.2270267194259386E-2</v>
      </c>
      <c r="J10" s="58">
        <v>2.2021994548397834E-2</v>
      </c>
      <c r="K10" s="58">
        <v>1.7251129603200858E-2</v>
      </c>
      <c r="L10" s="58">
        <v>1.0424516205904609E-2</v>
      </c>
      <c r="M10" s="58">
        <v>7.6123830003147156E-3</v>
      </c>
      <c r="N10" s="59">
        <v>9.8654607942885199E-3</v>
      </c>
      <c r="O10" s="59">
        <v>2.278585569273715E-2</v>
      </c>
    </row>
    <row r="11" spans="1:15" x14ac:dyDescent="0.45">
      <c r="B11" s="47" t="s">
        <v>59</v>
      </c>
      <c r="C11" s="58">
        <v>1.4749086431765967E-3</v>
      </c>
      <c r="D11" s="58">
        <v>6.8492231647622633E-4</v>
      </c>
      <c r="E11" s="58">
        <v>3.622715069745065E-5</v>
      </c>
      <c r="F11" s="58">
        <v>3.0854753631407937E-5</v>
      </c>
      <c r="G11" s="58">
        <v>1.2032286189398844E-3</v>
      </c>
      <c r="H11" s="58">
        <v>3.8364685284483741E-5</v>
      </c>
      <c r="I11" s="58">
        <v>5.9027848161565033E-6</v>
      </c>
      <c r="J11" s="58">
        <v>1.9788821069063206E-3</v>
      </c>
      <c r="K11" s="58">
        <v>0</v>
      </c>
      <c r="L11" s="58">
        <v>5.8527740643888281E-4</v>
      </c>
      <c r="M11" s="58">
        <v>0</v>
      </c>
      <c r="N11" s="59">
        <v>0</v>
      </c>
      <c r="O11" s="59">
        <v>6.1172511783047945E-4</v>
      </c>
    </row>
    <row r="12" spans="1:15" ht="14.65" thickBot="1" x14ac:dyDescent="0.5">
      <c r="A12" s="17"/>
      <c r="B12" s="48"/>
      <c r="C12" s="49">
        <v>0.99999999999999989</v>
      </c>
      <c r="D12" s="49">
        <v>1</v>
      </c>
      <c r="E12" s="49">
        <v>0.99999999999999989</v>
      </c>
      <c r="F12" s="49">
        <v>0.99999999999999989</v>
      </c>
      <c r="G12" s="49">
        <v>0.99999999999999989</v>
      </c>
      <c r="H12" s="49">
        <v>1</v>
      </c>
      <c r="I12" s="49">
        <v>0.99999999999999989</v>
      </c>
      <c r="J12" s="49">
        <v>1</v>
      </c>
      <c r="K12" s="49">
        <v>1</v>
      </c>
      <c r="L12" s="49">
        <v>1</v>
      </c>
      <c r="M12" s="49">
        <v>1</v>
      </c>
      <c r="N12" s="49">
        <v>1</v>
      </c>
      <c r="O12" s="49"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topLeftCell="F1" workbookViewId="0">
      <selection activeCell="K17" sqref="K17"/>
    </sheetView>
  </sheetViews>
  <sheetFormatPr defaultColWidth="9.19921875" defaultRowHeight="14.25" x14ac:dyDescent="0.45"/>
  <cols>
    <col min="1" max="1" width="19.73046875" style="15" bestFit="1" customWidth="1"/>
    <col min="2" max="2" width="31.265625" style="29" customWidth="1"/>
    <col min="3" max="5" width="17.73046875" style="15" bestFit="1" customWidth="1"/>
    <col min="6" max="6" width="16.53125" style="15" bestFit="1" customWidth="1"/>
    <col min="7" max="10" width="17.73046875" style="15" bestFit="1" customWidth="1"/>
    <col min="11" max="11" width="17.73046875" style="15" customWidth="1"/>
    <col min="12" max="12" width="18.73046875" style="15" bestFit="1" customWidth="1"/>
    <col min="13" max="14" width="18.796875" style="28" customWidth="1"/>
    <col min="15" max="15" width="20.796875" style="28" customWidth="1"/>
    <col min="16" max="16384" width="9.19921875" style="28"/>
  </cols>
  <sheetData>
    <row r="1" spans="1:15" x14ac:dyDescent="0.45">
      <c r="A1" s="39" t="str">
        <f>'Fixed rate bond (Values)'!A1</f>
        <v>27 October 2023</v>
      </c>
      <c r="C1" s="32"/>
      <c r="D1" s="32"/>
      <c r="E1" s="32"/>
      <c r="F1" s="32"/>
      <c r="G1" s="32"/>
      <c r="H1" s="32"/>
      <c r="I1" s="32"/>
      <c r="J1" s="32"/>
      <c r="K1" s="32"/>
    </row>
    <row r="2" spans="1:15" x14ac:dyDescent="0.45">
      <c r="A2" s="17"/>
      <c r="B2" s="18" t="s">
        <v>40</v>
      </c>
      <c r="C2" s="40" t="s">
        <v>60</v>
      </c>
      <c r="D2" s="40" t="s">
        <v>61</v>
      </c>
      <c r="E2" s="40" t="s">
        <v>62</v>
      </c>
      <c r="F2" s="40" t="s">
        <v>68</v>
      </c>
      <c r="G2" s="40" t="s">
        <v>80</v>
      </c>
      <c r="H2" s="40" t="s">
        <v>63</v>
      </c>
      <c r="I2" s="40" t="s">
        <v>64</v>
      </c>
      <c r="J2" s="40" t="s">
        <v>65</v>
      </c>
      <c r="K2" s="40" t="s">
        <v>82</v>
      </c>
      <c r="L2" s="40" t="s">
        <v>66</v>
      </c>
      <c r="M2" s="22" t="s">
        <v>67</v>
      </c>
      <c r="N2" s="22" t="s">
        <v>83</v>
      </c>
      <c r="O2" s="22" t="s">
        <v>85</v>
      </c>
    </row>
    <row r="3" spans="1:15" x14ac:dyDescent="0.45">
      <c r="B3" s="18" t="s">
        <v>53</v>
      </c>
      <c r="C3" s="51">
        <v>139542594</v>
      </c>
      <c r="D3" s="51">
        <v>2020185612</v>
      </c>
      <c r="E3" s="51">
        <v>160440432</v>
      </c>
      <c r="F3" s="51">
        <v>5298863366</v>
      </c>
      <c r="G3" s="51">
        <v>129000000</v>
      </c>
      <c r="H3" s="51">
        <v>14789764966</v>
      </c>
      <c r="I3" s="51">
        <v>287979735</v>
      </c>
      <c r="J3" s="51">
        <v>3339409501</v>
      </c>
      <c r="K3" s="51">
        <v>0</v>
      </c>
      <c r="L3" s="51">
        <v>4970258472</v>
      </c>
      <c r="M3" s="52">
        <v>1609765852</v>
      </c>
      <c r="N3" s="52">
        <v>0</v>
      </c>
      <c r="O3" s="20">
        <v>32745210530</v>
      </c>
    </row>
    <row r="4" spans="1:15" x14ac:dyDescent="0.45">
      <c r="B4" s="18" t="s">
        <v>73</v>
      </c>
      <c r="C4" s="51">
        <v>10494098054.529999</v>
      </c>
      <c r="D4" s="51">
        <v>11421315778</v>
      </c>
      <c r="E4" s="51">
        <v>2625942541</v>
      </c>
      <c r="F4" s="51">
        <v>2744615345</v>
      </c>
      <c r="G4" s="51">
        <v>664056022</v>
      </c>
      <c r="H4" s="51">
        <v>1197339631</v>
      </c>
      <c r="I4" s="51">
        <v>6158988006.9700003</v>
      </c>
      <c r="J4" s="51">
        <v>8393649249</v>
      </c>
      <c r="K4" s="51">
        <v>0</v>
      </c>
      <c r="L4" s="51">
        <v>16283594505.99</v>
      </c>
      <c r="M4" s="52">
        <v>16648658996.479998</v>
      </c>
      <c r="N4" s="52">
        <v>0</v>
      </c>
      <c r="O4" s="20">
        <v>76632258129.970001</v>
      </c>
    </row>
    <row r="5" spans="1:15" x14ac:dyDescent="0.45">
      <c r="B5" s="18" t="s">
        <v>54</v>
      </c>
      <c r="C5" s="51">
        <v>674811189.92000008</v>
      </c>
      <c r="D5" s="51">
        <v>4705313363</v>
      </c>
      <c r="E5" s="51">
        <v>1859176450</v>
      </c>
      <c r="F5" s="51">
        <v>3134324381</v>
      </c>
      <c r="G5" s="51">
        <v>84200000</v>
      </c>
      <c r="H5" s="51">
        <v>3408286250</v>
      </c>
      <c r="I5" s="51">
        <v>1608994442</v>
      </c>
      <c r="J5" s="51">
        <v>4743500219</v>
      </c>
      <c r="K5" s="51">
        <v>0</v>
      </c>
      <c r="L5" s="51">
        <v>6313718901</v>
      </c>
      <c r="M5" s="52">
        <v>6591807638</v>
      </c>
      <c r="N5" s="52">
        <v>0</v>
      </c>
      <c r="O5" s="20">
        <v>33124132833.919998</v>
      </c>
    </row>
    <row r="6" spans="1:15" x14ac:dyDescent="0.45">
      <c r="B6" s="18" t="s">
        <v>55</v>
      </c>
      <c r="C6" s="51">
        <v>51619238</v>
      </c>
      <c r="D6" s="51">
        <v>2026946002</v>
      </c>
      <c r="E6" s="51">
        <v>237411253</v>
      </c>
      <c r="F6" s="51">
        <v>1107943259</v>
      </c>
      <c r="G6" s="51">
        <v>8000000</v>
      </c>
      <c r="H6" s="51">
        <v>1183085156</v>
      </c>
      <c r="I6" s="51">
        <v>559814412</v>
      </c>
      <c r="J6" s="51">
        <v>1388543061.4300001</v>
      </c>
      <c r="K6" s="51">
        <v>0</v>
      </c>
      <c r="L6" s="51">
        <v>1212158789</v>
      </c>
      <c r="M6" s="52">
        <v>2024759382.8099999</v>
      </c>
      <c r="N6" s="52">
        <v>0</v>
      </c>
      <c r="O6" s="20">
        <v>9800280553.2399998</v>
      </c>
    </row>
    <row r="7" spans="1:15" x14ac:dyDescent="0.45">
      <c r="B7" s="18" t="s">
        <v>56</v>
      </c>
      <c r="C7" s="51">
        <v>371526642</v>
      </c>
      <c r="D7" s="51">
        <v>5184600717</v>
      </c>
      <c r="E7" s="51">
        <v>2030493681.7</v>
      </c>
      <c r="F7" s="51">
        <v>4312460410</v>
      </c>
      <c r="G7" s="51">
        <v>42300000</v>
      </c>
      <c r="H7" s="51">
        <v>8268998039</v>
      </c>
      <c r="I7" s="51">
        <v>2944181326.6399999</v>
      </c>
      <c r="J7" s="51">
        <v>9793183903</v>
      </c>
      <c r="K7" s="51">
        <v>0</v>
      </c>
      <c r="L7" s="51">
        <v>13303824146</v>
      </c>
      <c r="M7" s="52">
        <v>16854058296.76</v>
      </c>
      <c r="N7" s="52">
        <v>100000000</v>
      </c>
      <c r="O7" s="20">
        <v>63205627162.099998</v>
      </c>
    </row>
    <row r="8" spans="1:15" x14ac:dyDescent="0.45">
      <c r="B8" s="18" t="s">
        <v>57</v>
      </c>
      <c r="C8" s="51">
        <v>14016802988</v>
      </c>
      <c r="D8" s="51">
        <v>25724845265</v>
      </c>
      <c r="E8" s="51">
        <v>19465325590</v>
      </c>
      <c r="F8" s="51">
        <v>16230441477</v>
      </c>
      <c r="G8" s="51">
        <v>430000000</v>
      </c>
      <c r="H8" s="51">
        <v>31708748028</v>
      </c>
      <c r="I8" s="51">
        <v>23299964661</v>
      </c>
      <c r="J8" s="51">
        <v>45877250286</v>
      </c>
      <c r="K8" s="51">
        <v>4286000000</v>
      </c>
      <c r="L8" s="51">
        <v>42141975390</v>
      </c>
      <c r="M8" s="52">
        <v>49218465676</v>
      </c>
      <c r="N8" s="52">
        <v>115000000</v>
      </c>
      <c r="O8" s="20">
        <v>272514819361</v>
      </c>
    </row>
    <row r="9" spans="1:15" x14ac:dyDescent="0.45">
      <c r="B9" s="18" t="s">
        <v>5</v>
      </c>
      <c r="C9" s="51">
        <v>1494539421.55</v>
      </c>
      <c r="D9" s="51">
        <v>15889370983</v>
      </c>
      <c r="E9" s="51">
        <v>3279694414.0699997</v>
      </c>
      <c r="F9" s="51">
        <v>16401223918</v>
      </c>
      <c r="G9" s="51">
        <v>322843978</v>
      </c>
      <c r="H9" s="51">
        <v>11282081117</v>
      </c>
      <c r="I9" s="51">
        <v>3017187737.3899999</v>
      </c>
      <c r="J9" s="51">
        <v>5558761897.5700006</v>
      </c>
      <c r="K9" s="51">
        <v>49720334</v>
      </c>
      <c r="L9" s="51">
        <v>7697311674.0099993</v>
      </c>
      <c r="M9" s="52">
        <v>9209138599.9500008</v>
      </c>
      <c r="N9" s="52">
        <v>100000000</v>
      </c>
      <c r="O9" s="20">
        <v>74301874074.539993</v>
      </c>
    </row>
    <row r="10" spans="1:15" x14ac:dyDescent="0.45">
      <c r="B10" s="18" t="s">
        <v>58</v>
      </c>
      <c r="C10" s="51">
        <v>2514577349</v>
      </c>
      <c r="D10" s="51">
        <v>937422280</v>
      </c>
      <c r="E10" s="51">
        <v>764033200.23000002</v>
      </c>
      <c r="F10" s="51">
        <v>257422406</v>
      </c>
      <c r="G10" s="51">
        <v>4600000</v>
      </c>
      <c r="H10" s="51">
        <v>834591125</v>
      </c>
      <c r="I10" s="51">
        <v>64074678</v>
      </c>
      <c r="J10" s="51">
        <v>1820701883</v>
      </c>
      <c r="K10" s="51">
        <v>0</v>
      </c>
      <c r="L10" s="51">
        <v>1002158122</v>
      </c>
      <c r="M10" s="52">
        <v>1353345558</v>
      </c>
      <c r="N10" s="52">
        <v>0</v>
      </c>
      <c r="O10" s="20">
        <v>9552926601.2299995</v>
      </c>
    </row>
    <row r="11" spans="1:15" x14ac:dyDescent="0.45">
      <c r="B11" s="18" t="s">
        <v>59</v>
      </c>
      <c r="C11" s="52">
        <v>0</v>
      </c>
      <c r="D11" s="52">
        <v>0</v>
      </c>
      <c r="E11" s="52">
        <v>300000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20">
        <v>300000</v>
      </c>
    </row>
    <row r="12" spans="1:15" x14ac:dyDescent="0.45">
      <c r="A12" s="17"/>
      <c r="B12" s="18"/>
      <c r="C12" s="33">
        <v>29757517476.999996</v>
      </c>
      <c r="D12" s="33">
        <v>67910000000</v>
      </c>
      <c r="E12" s="33">
        <v>30422817562</v>
      </c>
      <c r="F12" s="33">
        <v>49487294562</v>
      </c>
      <c r="G12" s="33">
        <v>1685000000</v>
      </c>
      <c r="H12" s="33">
        <v>72672894312</v>
      </c>
      <c r="I12" s="33">
        <v>37941184999</v>
      </c>
      <c r="J12" s="33">
        <v>80915000000</v>
      </c>
      <c r="K12" s="33">
        <v>4335720334</v>
      </c>
      <c r="L12" s="33">
        <v>92924999999.999985</v>
      </c>
      <c r="M12" s="33">
        <v>103509999999.99998</v>
      </c>
      <c r="N12" s="33">
        <v>315000000</v>
      </c>
      <c r="O12" s="33">
        <v>571877429246</v>
      </c>
    </row>
    <row r="13" spans="1:15" x14ac:dyDescent="0.45"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42"/>
      <c r="N13" s="42"/>
    </row>
    <row r="14" spans="1:15" x14ac:dyDescent="0.45"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42"/>
      <c r="N14" s="42"/>
    </row>
    <row r="15" spans="1:15" x14ac:dyDescent="0.4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1:15" x14ac:dyDescent="0.4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</row>
    <row r="17" spans="3:14" x14ac:dyDescent="0.4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</row>
    <row r="18" spans="3:14" x14ac:dyDescent="0.4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  <row r="19" spans="3:14" x14ac:dyDescent="0.45"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spans="3:14" x14ac:dyDescent="0.4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3:14" x14ac:dyDescent="0.4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spans="3:14" x14ac:dyDescent="0.4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</row>
    <row r="23" spans="3:14" x14ac:dyDescent="0.4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3:14" x14ac:dyDescent="0.4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>
      <selection activeCell="F22" sqref="F22"/>
    </sheetView>
  </sheetViews>
  <sheetFormatPr defaultColWidth="9.19921875" defaultRowHeight="14.25" x14ac:dyDescent="0.45"/>
  <cols>
    <col min="1" max="1" width="18.19921875" style="15" bestFit="1" customWidth="1"/>
    <col min="2" max="2" width="29.73046875" style="15" bestFit="1" customWidth="1"/>
    <col min="3" max="3" width="11" style="15" bestFit="1" customWidth="1"/>
    <col min="4" max="4" width="11.265625" style="15" bestFit="1" customWidth="1"/>
    <col min="5" max="5" width="11" style="15" bestFit="1" customWidth="1"/>
    <col min="6" max="6" width="11" style="15" customWidth="1"/>
    <col min="7" max="7" width="11" style="15" bestFit="1" customWidth="1"/>
    <col min="8" max="10" width="11.265625" style="15" bestFit="1" customWidth="1"/>
    <col min="11" max="11" width="11.265625" style="15" customWidth="1"/>
    <col min="12" max="12" width="11.73046875" style="28" customWidth="1"/>
    <col min="13" max="14" width="11.06640625" style="28" bestFit="1" customWidth="1"/>
    <col min="15" max="16384" width="9.19921875" style="28"/>
  </cols>
  <sheetData>
    <row r="1" spans="1:15" x14ac:dyDescent="0.45">
      <c r="A1" s="39" t="str">
        <f>'Fixed rate bond (Values)'!A1</f>
        <v>27 October 2023</v>
      </c>
    </row>
    <row r="2" spans="1:15" x14ac:dyDescent="0.45">
      <c r="A2" s="17"/>
      <c r="B2" s="18"/>
      <c r="C2" s="22" t="s">
        <v>60</v>
      </c>
      <c r="D2" s="22" t="s">
        <v>61</v>
      </c>
      <c r="E2" s="22" t="s">
        <v>62</v>
      </c>
      <c r="F2" s="22" t="s">
        <v>68</v>
      </c>
      <c r="G2" s="22" t="s">
        <v>80</v>
      </c>
      <c r="H2" s="22" t="s">
        <v>63</v>
      </c>
      <c r="I2" s="22" t="s">
        <v>64</v>
      </c>
      <c r="J2" s="22" t="s">
        <v>65</v>
      </c>
      <c r="K2" s="22" t="s">
        <v>82</v>
      </c>
      <c r="L2" s="22" t="s">
        <v>66</v>
      </c>
      <c r="M2" s="43" t="s">
        <v>67</v>
      </c>
      <c r="N2" s="43" t="s">
        <v>83</v>
      </c>
      <c r="O2" s="43" t="s">
        <v>72</v>
      </c>
    </row>
    <row r="3" spans="1:15" x14ac:dyDescent="0.45">
      <c r="B3" s="18" t="s">
        <v>53</v>
      </c>
      <c r="C3" s="53">
        <v>4.6893224244211381E-3</v>
      </c>
      <c r="D3" s="53">
        <v>2.9747984273302899E-2</v>
      </c>
      <c r="E3" s="53">
        <v>5.2736874772703543E-3</v>
      </c>
      <c r="F3" s="53">
        <v>0.10707522835707528</v>
      </c>
      <c r="G3" s="53">
        <v>7.6557863501483678E-2</v>
      </c>
      <c r="H3" s="53">
        <v>0.20351143443529898</v>
      </c>
      <c r="I3" s="53">
        <v>7.5901618520241307E-3</v>
      </c>
      <c r="J3" s="53">
        <v>4.1270586430204537E-2</v>
      </c>
      <c r="K3" s="53">
        <v>0</v>
      </c>
      <c r="L3" s="53">
        <v>5.3486773979015342E-2</v>
      </c>
      <c r="M3" s="53">
        <v>1.5551790667568352E-2</v>
      </c>
      <c r="N3" s="53">
        <v>0</v>
      </c>
      <c r="O3" s="53">
        <v>5.7259141304410968E-2</v>
      </c>
    </row>
    <row r="4" spans="1:15" x14ac:dyDescent="0.45">
      <c r="B4" s="18" t="s">
        <v>73</v>
      </c>
      <c r="C4" s="53">
        <v>0.35265368028905753</v>
      </c>
      <c r="D4" s="53">
        <v>0.16818312145486675</v>
      </c>
      <c r="E4" s="53">
        <v>8.6314902807686236E-2</v>
      </c>
      <c r="F4" s="53">
        <v>5.5461010129810542E-2</v>
      </c>
      <c r="G4" s="53">
        <v>0.39409852937685458</v>
      </c>
      <c r="H4" s="53">
        <v>1.6475738889104505E-2</v>
      </c>
      <c r="I4" s="53">
        <v>0.16232987997428994</v>
      </c>
      <c r="J4" s="53">
        <v>0.10373415620095161</v>
      </c>
      <c r="K4" s="53">
        <v>0</v>
      </c>
      <c r="L4" s="53">
        <v>0.17523373156836161</v>
      </c>
      <c r="M4" s="53">
        <v>0.16084106846179114</v>
      </c>
      <c r="N4" s="53">
        <v>0</v>
      </c>
      <c r="O4" s="53">
        <v>0.13400119363166144</v>
      </c>
    </row>
    <row r="5" spans="1:15" x14ac:dyDescent="0.45">
      <c r="B5" s="18" t="s">
        <v>54</v>
      </c>
      <c r="C5" s="53">
        <v>2.2676998860592826E-2</v>
      </c>
      <c r="D5" s="53">
        <v>6.9287488779266673E-2</v>
      </c>
      <c r="E5" s="53">
        <v>6.111125132348779E-2</v>
      </c>
      <c r="F5" s="53">
        <v>6.3335941249994407E-2</v>
      </c>
      <c r="G5" s="53">
        <v>4.9970326409495551E-2</v>
      </c>
      <c r="H5" s="53">
        <v>4.6899002472194258E-2</v>
      </c>
      <c r="I5" s="53">
        <v>4.2407595915689184E-2</v>
      </c>
      <c r="J5" s="53">
        <v>5.8623249323364025E-2</v>
      </c>
      <c r="K5" s="53">
        <v>0</v>
      </c>
      <c r="L5" s="53">
        <v>6.7944244293785316E-2</v>
      </c>
      <c r="M5" s="53">
        <v>6.3682809757511366E-2</v>
      </c>
      <c r="N5" s="53">
        <v>0</v>
      </c>
      <c r="O5" s="53">
        <v>5.7921734868244382E-2</v>
      </c>
    </row>
    <row r="6" spans="1:15" x14ac:dyDescent="0.45">
      <c r="B6" s="18" t="s">
        <v>55</v>
      </c>
      <c r="C6" s="53">
        <v>1.7346621081512339E-3</v>
      </c>
      <c r="D6" s="53">
        <v>2.9847533529671625E-2</v>
      </c>
      <c r="E6" s="53">
        <v>7.8037233900564648E-3</v>
      </c>
      <c r="F6" s="53">
        <v>2.2388438665037889E-2</v>
      </c>
      <c r="G6" s="53">
        <v>4.747774480712166E-3</v>
      </c>
      <c r="H6" s="53">
        <v>1.6279593199092456E-2</v>
      </c>
      <c r="I6" s="53">
        <v>1.475479513923339E-2</v>
      </c>
      <c r="J6" s="53">
        <v>1.7160514878947045E-2</v>
      </c>
      <c r="K6" s="53">
        <v>0</v>
      </c>
      <c r="L6" s="53">
        <v>1.3044485219262849E-2</v>
      </c>
      <c r="M6" s="53">
        <v>1.9561002635590765E-2</v>
      </c>
      <c r="N6" s="53">
        <v>0</v>
      </c>
      <c r="O6" s="53">
        <v>1.7137029811023177E-2</v>
      </c>
    </row>
    <row r="7" spans="1:15" x14ac:dyDescent="0.45">
      <c r="B7" s="18" t="s">
        <v>56</v>
      </c>
      <c r="C7" s="53">
        <v>1.2485135639663428E-2</v>
      </c>
      <c r="D7" s="53">
        <v>7.6345173273450154E-2</v>
      </c>
      <c r="E7" s="53">
        <v>6.67424599171976E-2</v>
      </c>
      <c r="F7" s="53">
        <v>8.7142779741114104E-2</v>
      </c>
      <c r="G7" s="53">
        <v>2.5103857566765579E-2</v>
      </c>
      <c r="H7" s="53">
        <v>0.11378379954841834</v>
      </c>
      <c r="I7" s="53">
        <v>7.759856015877202E-2</v>
      </c>
      <c r="J7" s="53">
        <v>0.12103051230303405</v>
      </c>
      <c r="K7" s="53">
        <v>0</v>
      </c>
      <c r="L7" s="53">
        <v>0.14316733006187787</v>
      </c>
      <c r="M7" s="53">
        <v>0.16282541104009277</v>
      </c>
      <c r="N7" s="53">
        <v>0.31746031746031744</v>
      </c>
      <c r="O7" s="53">
        <v>0.11052303156191068</v>
      </c>
    </row>
    <row r="8" spans="1:15" x14ac:dyDescent="0.45">
      <c r="B8" s="18" t="s">
        <v>57</v>
      </c>
      <c r="C8" s="53">
        <v>0.47103401682730367</v>
      </c>
      <c r="D8" s="53">
        <v>0.37880791142688852</v>
      </c>
      <c r="E8" s="53">
        <v>0.63982652331036582</v>
      </c>
      <c r="F8" s="53">
        <v>0.32797188895961454</v>
      </c>
      <c r="G8" s="53">
        <v>0.25519287833827892</v>
      </c>
      <c r="H8" s="53">
        <v>0.43632152438937805</v>
      </c>
      <c r="I8" s="53">
        <v>0.61410745767729991</v>
      </c>
      <c r="J8" s="53">
        <v>0.56698078583698941</v>
      </c>
      <c r="K8" s="53">
        <v>0.9885323936578424</v>
      </c>
      <c r="L8" s="53">
        <v>0.45350525036319622</v>
      </c>
      <c r="M8" s="53">
        <v>0.47549478964351277</v>
      </c>
      <c r="N8" s="53">
        <v>0.36507936507936506</v>
      </c>
      <c r="O8" s="53">
        <v>0.47652662165789805</v>
      </c>
    </row>
    <row r="9" spans="1:15" x14ac:dyDescent="0.45">
      <c r="B9" s="18" t="s">
        <v>5</v>
      </c>
      <c r="C9" s="53">
        <v>5.0223928212598731E-2</v>
      </c>
      <c r="D9" s="53">
        <v>0.23397689564128996</v>
      </c>
      <c r="E9" s="53">
        <v>0.1078037695682251</v>
      </c>
      <c r="F9" s="53">
        <v>0.3314229250793207</v>
      </c>
      <c r="G9" s="53">
        <v>0.19159880000000001</v>
      </c>
      <c r="H9" s="53">
        <v>0.15524469231352828</v>
      </c>
      <c r="I9" s="53">
        <v>7.9522759699506562E-2</v>
      </c>
      <c r="J9" s="53">
        <v>6.8698781407279252E-2</v>
      </c>
      <c r="K9" s="53">
        <v>1.1467606342157585E-2</v>
      </c>
      <c r="L9" s="53">
        <v>8.2833593478719408E-2</v>
      </c>
      <c r="M9" s="53">
        <v>8.8968588541686808E-2</v>
      </c>
      <c r="N9" s="53">
        <v>0.31746031746031744</v>
      </c>
      <c r="O9" s="53">
        <v>0.12992622242934884</v>
      </c>
    </row>
    <row r="10" spans="1:15" x14ac:dyDescent="0.45">
      <c r="B10" s="18" t="s">
        <v>58</v>
      </c>
      <c r="C10" s="53">
        <v>8.4502255638211496E-2</v>
      </c>
      <c r="D10" s="53">
        <v>1.3803891621263437E-2</v>
      </c>
      <c r="E10" s="53">
        <v>2.5113821186119368E-2</v>
      </c>
      <c r="F10" s="53">
        <v>5.2017878180325491E-3</v>
      </c>
      <c r="G10" s="53">
        <v>2.7299703264094958E-3</v>
      </c>
      <c r="H10" s="53">
        <v>1.1484214752985136E-2</v>
      </c>
      <c r="I10" s="53">
        <v>1.688789583184837E-3</v>
      </c>
      <c r="J10" s="53">
        <v>2.2501413619230057E-2</v>
      </c>
      <c r="K10" s="53">
        <v>0</v>
      </c>
      <c r="L10" s="53">
        <v>1.0784591035781546E-2</v>
      </c>
      <c r="M10" s="53">
        <v>1.3074539252246161E-2</v>
      </c>
      <c r="N10" s="53">
        <v>0</v>
      </c>
      <c r="O10" s="53">
        <v>1.6704500147566925E-2</v>
      </c>
    </row>
    <row r="11" spans="1:15" x14ac:dyDescent="0.45">
      <c r="B11" s="18" t="s">
        <v>59</v>
      </c>
      <c r="C11" s="53">
        <v>0</v>
      </c>
      <c r="D11" s="53">
        <v>0</v>
      </c>
      <c r="E11" s="53">
        <v>9.8610195912530711E-6</v>
      </c>
      <c r="F11" s="53">
        <v>0</v>
      </c>
      <c r="G11" s="53">
        <v>0</v>
      </c>
      <c r="H11" s="53"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5.2458793555734364E-7</v>
      </c>
    </row>
    <row r="12" spans="1:15" x14ac:dyDescent="0.45">
      <c r="B12" s="23"/>
      <c r="C12" s="21">
        <v>0.99999999999999989</v>
      </c>
      <c r="D12" s="21">
        <v>0.99999999999999989</v>
      </c>
      <c r="E12" s="21">
        <v>1</v>
      </c>
      <c r="F12" s="21">
        <v>1</v>
      </c>
      <c r="G12" s="21">
        <v>0.99999999999999989</v>
      </c>
      <c r="H12" s="21">
        <v>0.99999999999999989</v>
      </c>
      <c r="I12" s="21">
        <v>0.99999999999999989</v>
      </c>
      <c r="J12" s="21">
        <v>1</v>
      </c>
      <c r="K12" s="21">
        <v>1</v>
      </c>
      <c r="L12" s="21">
        <v>1.0000000000000002</v>
      </c>
      <c r="M12" s="21">
        <v>1</v>
      </c>
      <c r="N12" s="21">
        <v>1</v>
      </c>
      <c r="O12" s="21">
        <v>1</v>
      </c>
    </row>
    <row r="13" spans="1:15" x14ac:dyDescent="0.45">
      <c r="C13" s="30"/>
      <c r="D13" s="30"/>
      <c r="E13" s="30"/>
      <c r="F13" s="30"/>
      <c r="G13" s="30"/>
      <c r="H13" s="30"/>
      <c r="I13" s="30"/>
      <c r="J13" s="30"/>
      <c r="K13" s="30"/>
    </row>
    <row r="17" spans="2:11" x14ac:dyDescent="0.45"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2:11" x14ac:dyDescent="0.45"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spans="2:11" x14ac:dyDescent="0.45">
      <c r="B19" s="28"/>
      <c r="C19" s="28"/>
      <c r="D19" s="28"/>
      <c r="E19" s="28"/>
      <c r="F19" s="28"/>
      <c r="G19" s="28"/>
      <c r="H19" s="28"/>
      <c r="I19" s="28"/>
      <c r="J19" s="28"/>
      <c r="K19" s="28"/>
    </row>
    <row r="20" spans="2:11" x14ac:dyDescent="0.45"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spans="2:11" x14ac:dyDescent="0.45">
      <c r="B21" s="28"/>
      <c r="C21" s="28"/>
      <c r="D21" s="28"/>
      <c r="E21" s="28"/>
      <c r="F21" s="28"/>
      <c r="G21" s="28"/>
      <c r="H21" s="28"/>
      <c r="I21" s="28"/>
      <c r="J21" s="28"/>
      <c r="K21" s="28"/>
    </row>
    <row r="22" spans="2:11" x14ac:dyDescent="0.45"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2:11" x14ac:dyDescent="0.45">
      <c r="B23" s="28"/>
      <c r="C23" s="28"/>
      <c r="D23" s="28"/>
      <c r="E23" s="28"/>
      <c r="F23" s="28"/>
      <c r="G23" s="28"/>
      <c r="H23" s="28"/>
      <c r="I23" s="28"/>
      <c r="J23" s="28"/>
      <c r="K23" s="28"/>
    </row>
    <row r="24" spans="2:11" x14ac:dyDescent="0.45"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spans="2:11" x14ac:dyDescent="0.45"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2:11" x14ac:dyDescent="0.45"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2:11" x14ac:dyDescent="0.45">
      <c r="B27" s="28"/>
      <c r="C27" s="28"/>
      <c r="D27" s="28"/>
      <c r="E27" s="28"/>
      <c r="F27" s="28"/>
      <c r="G27" s="28"/>
      <c r="H27" s="28"/>
      <c r="I27" s="28"/>
      <c r="J27" s="28"/>
      <c r="K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E23" sqref="E23"/>
    </sheetView>
  </sheetViews>
  <sheetFormatPr defaultColWidth="9.19921875" defaultRowHeight="14.25" x14ac:dyDescent="0.45"/>
  <cols>
    <col min="1" max="1" width="18.19921875" style="15" bestFit="1" customWidth="1"/>
    <col min="2" max="2" width="29.73046875" style="15" bestFit="1" customWidth="1"/>
    <col min="3" max="4" width="15.53125" style="15" bestFit="1" customWidth="1"/>
    <col min="5" max="6" width="14.59765625" style="15" bestFit="1" customWidth="1"/>
    <col min="7" max="7" width="11" style="15" bestFit="1" customWidth="1"/>
    <col min="8" max="10" width="11.265625" style="15" bestFit="1" customWidth="1"/>
    <col min="11" max="11" width="11.73046875" style="28" customWidth="1"/>
    <col min="12" max="16384" width="9.19921875" style="28"/>
  </cols>
  <sheetData>
    <row r="1" spans="1:13" x14ac:dyDescent="0.45">
      <c r="A1" s="39" t="str">
        <f>'Fixed rate bond (Values)'!A1</f>
        <v>27 October 2023</v>
      </c>
    </row>
    <row r="2" spans="1:13" x14ac:dyDescent="0.45">
      <c r="A2" s="17"/>
      <c r="B2" s="18" t="s">
        <v>40</v>
      </c>
      <c r="C2" s="18" t="s">
        <v>77</v>
      </c>
      <c r="D2" s="57" t="s">
        <v>81</v>
      </c>
      <c r="E2" s="57" t="s">
        <v>52</v>
      </c>
      <c r="K2" s="15"/>
      <c r="L2" s="15"/>
    </row>
    <row r="3" spans="1:13" x14ac:dyDescent="0.45">
      <c r="B3" s="18" t="s">
        <v>53</v>
      </c>
      <c r="C3" s="51">
        <v>544814011</v>
      </c>
      <c r="D3" s="50">
        <v>0</v>
      </c>
      <c r="E3" s="60">
        <v>544814011</v>
      </c>
      <c r="K3" s="15"/>
      <c r="L3" s="15"/>
      <c r="M3" s="54"/>
    </row>
    <row r="4" spans="1:13" x14ac:dyDescent="0.45">
      <c r="B4" s="18" t="s">
        <v>73</v>
      </c>
      <c r="C4" s="51">
        <v>52346207000</v>
      </c>
      <c r="D4" s="50">
        <v>14915600000</v>
      </c>
      <c r="E4" s="60">
        <v>67261807000</v>
      </c>
      <c r="K4" s="15"/>
      <c r="L4" s="15"/>
      <c r="M4" s="54"/>
    </row>
    <row r="5" spans="1:13" x14ac:dyDescent="0.45">
      <c r="B5" s="18" t="s">
        <v>54</v>
      </c>
      <c r="C5" s="51">
        <v>651550000</v>
      </c>
      <c r="D5" s="50">
        <v>480000000</v>
      </c>
      <c r="E5" s="60">
        <v>1131550000</v>
      </c>
      <c r="K5" s="15"/>
      <c r="L5" s="15"/>
      <c r="M5" s="54"/>
    </row>
    <row r="6" spans="1:13" x14ac:dyDescent="0.45">
      <c r="B6" s="18" t="s">
        <v>55</v>
      </c>
      <c r="C6" s="51">
        <v>1243500000</v>
      </c>
      <c r="D6" s="50">
        <v>23680000</v>
      </c>
      <c r="E6" s="60">
        <v>1267180000</v>
      </c>
      <c r="K6" s="15"/>
      <c r="L6" s="15"/>
      <c r="M6" s="54"/>
    </row>
    <row r="7" spans="1:13" x14ac:dyDescent="0.45">
      <c r="B7" s="18" t="s">
        <v>56</v>
      </c>
      <c r="C7" s="51">
        <v>47700000</v>
      </c>
      <c r="D7" s="50">
        <v>41414909</v>
      </c>
      <c r="E7" s="60">
        <v>89114909</v>
      </c>
      <c r="K7" s="15"/>
      <c r="L7" s="15"/>
      <c r="M7" s="54"/>
    </row>
    <row r="8" spans="1:13" x14ac:dyDescent="0.45">
      <c r="B8" s="18" t="s">
        <v>57</v>
      </c>
      <c r="C8" s="51">
        <v>650000</v>
      </c>
      <c r="D8" s="50">
        <v>1645694</v>
      </c>
      <c r="E8" s="60">
        <v>2295694</v>
      </c>
      <c r="K8" s="15"/>
      <c r="L8" s="15"/>
      <c r="M8" s="54"/>
    </row>
    <row r="9" spans="1:13" x14ac:dyDescent="0.45">
      <c r="B9" s="18" t="s">
        <v>5</v>
      </c>
      <c r="C9" s="51">
        <v>10409580386</v>
      </c>
      <c r="D9" s="50">
        <v>4186576995</v>
      </c>
      <c r="E9" s="60">
        <v>14596157381</v>
      </c>
      <c r="K9" s="15"/>
      <c r="L9" s="15"/>
      <c r="M9" s="54"/>
    </row>
    <row r="10" spans="1:13" x14ac:dyDescent="0.45">
      <c r="B10" s="18" t="s">
        <v>58</v>
      </c>
      <c r="C10" s="51">
        <v>175998603</v>
      </c>
      <c r="D10" s="50">
        <v>46082402</v>
      </c>
      <c r="E10" s="60">
        <v>222081005</v>
      </c>
      <c r="K10" s="15"/>
      <c r="L10" s="15"/>
      <c r="M10" s="54"/>
    </row>
    <row r="11" spans="1:13" x14ac:dyDescent="0.45">
      <c r="B11" s="19" t="s">
        <v>59</v>
      </c>
      <c r="C11" s="52">
        <v>0</v>
      </c>
      <c r="D11" s="50">
        <v>0</v>
      </c>
      <c r="E11" s="60">
        <v>0</v>
      </c>
      <c r="K11" s="15"/>
      <c r="L11" s="15"/>
      <c r="M11" s="54"/>
    </row>
    <row r="12" spans="1:13" x14ac:dyDescent="0.45">
      <c r="B12" s="19"/>
      <c r="C12" s="20">
        <v>65420000000</v>
      </c>
      <c r="D12" s="20">
        <v>19695000000</v>
      </c>
      <c r="E12" s="20">
        <v>85115000000</v>
      </c>
      <c r="F12" s="26"/>
      <c r="K12" s="15"/>
      <c r="L12" s="15"/>
    </row>
    <row r="13" spans="1:13" x14ac:dyDescent="0.45">
      <c r="C13" s="30"/>
      <c r="D13" s="30"/>
      <c r="K13" s="15"/>
      <c r="L13" s="15"/>
    </row>
    <row r="17" spans="2:10" x14ac:dyDescent="0.4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4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4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4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4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4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4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4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4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4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4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F21" sqref="F21"/>
    </sheetView>
  </sheetViews>
  <sheetFormatPr defaultColWidth="8.73046875" defaultRowHeight="12.75" x14ac:dyDescent="0.35"/>
  <cols>
    <col min="1" max="1" width="18.73046875" style="15" bestFit="1" customWidth="1"/>
    <col min="2" max="2" width="28" style="15" bestFit="1" customWidth="1"/>
    <col min="3" max="4" width="13.265625" style="15" bestFit="1" customWidth="1"/>
    <col min="5" max="16384" width="8.73046875" style="15"/>
  </cols>
  <sheetData>
    <row r="1" spans="1:5" ht="13.9" x14ac:dyDescent="0.4">
      <c r="A1" s="39" t="str">
        <f>'Fixed rate bond (Values)'!A1</f>
        <v>27 October 2023</v>
      </c>
    </row>
    <row r="3" spans="1:5" ht="13.15" x14ac:dyDescent="0.4">
      <c r="B3" s="18" t="s">
        <v>40</v>
      </c>
      <c r="C3" s="22" t="s">
        <v>77</v>
      </c>
      <c r="D3" s="43" t="s">
        <v>81</v>
      </c>
      <c r="E3" s="43" t="s">
        <v>72</v>
      </c>
    </row>
    <row r="4" spans="1:5" ht="13.15" x14ac:dyDescent="0.4">
      <c r="B4" s="18" t="s">
        <v>53</v>
      </c>
      <c r="C4" s="53">
        <v>8.3279426933659424E-3</v>
      </c>
      <c r="D4" s="53">
        <v>0</v>
      </c>
      <c r="E4" s="53">
        <v>6.4009165364506846E-3</v>
      </c>
    </row>
    <row r="5" spans="1:5" ht="13.15" x14ac:dyDescent="0.4">
      <c r="B5" s="18" t="s">
        <v>73</v>
      </c>
      <c r="C5" s="53">
        <v>0.80015602262305108</v>
      </c>
      <c r="D5" s="53">
        <v>0.75732927138867734</v>
      </c>
      <c r="E5" s="53">
        <v>0.79024621982024323</v>
      </c>
    </row>
    <row r="6" spans="1:5" ht="13.15" x14ac:dyDescent="0.4">
      <c r="B6" s="18" t="s">
        <v>54</v>
      </c>
      <c r="C6" s="53">
        <v>9.9594925099357988E-3</v>
      </c>
      <c r="D6" s="53">
        <v>2.4371667936024372E-2</v>
      </c>
      <c r="E6" s="53">
        <v>1.3294366445397403E-2</v>
      </c>
    </row>
    <row r="7" spans="1:5" ht="13.15" x14ac:dyDescent="0.4">
      <c r="B7" s="18" t="s">
        <v>55</v>
      </c>
      <c r="C7" s="53">
        <v>1.9007948639559766E-2</v>
      </c>
      <c r="D7" s="53">
        <v>1.2023356181772023E-3</v>
      </c>
      <c r="E7" s="53">
        <v>1.4887857604417553E-2</v>
      </c>
    </row>
    <row r="8" spans="1:5" ht="13.15" x14ac:dyDescent="0.4">
      <c r="B8" s="18" t="s">
        <v>56</v>
      </c>
      <c r="C8" s="53">
        <v>7.2913482115560986E-4</v>
      </c>
      <c r="D8" s="53">
        <v>2.1028133536430565E-3</v>
      </c>
      <c r="E8" s="53">
        <v>1.0469941725900253E-3</v>
      </c>
    </row>
    <row r="9" spans="1:5" ht="13.15" x14ac:dyDescent="0.4">
      <c r="B9" s="18" t="s">
        <v>57</v>
      </c>
      <c r="C9" s="53">
        <v>9.9357994497095695E-6</v>
      </c>
      <c r="D9" s="53">
        <v>8.3558974358974365E-5</v>
      </c>
      <c r="E9" s="53">
        <v>2.6971673618046173E-5</v>
      </c>
    </row>
    <row r="10" spans="1:5" ht="13.15" x14ac:dyDescent="0.4">
      <c r="B10" s="18" t="s">
        <v>5</v>
      </c>
      <c r="C10" s="53">
        <v>0.1591192354937328</v>
      </c>
      <c r="D10" s="53">
        <v>0.21257055064737243</v>
      </c>
      <c r="E10" s="53">
        <v>0.17148748611878048</v>
      </c>
    </row>
    <row r="11" spans="1:5" ht="13.15" x14ac:dyDescent="0.4">
      <c r="B11" s="18" t="s">
        <v>58</v>
      </c>
      <c r="C11" s="53">
        <v>2.6902874197493121E-3</v>
      </c>
      <c r="D11" s="53">
        <v>2.3398020817466361E-3</v>
      </c>
      <c r="E11" s="53">
        <v>2.6091876285026143E-3</v>
      </c>
    </row>
    <row r="12" spans="1:5" ht="13.15" x14ac:dyDescent="0.4">
      <c r="B12" s="18" t="s">
        <v>59</v>
      </c>
      <c r="C12" s="53">
        <v>0</v>
      </c>
      <c r="D12" s="53">
        <v>0</v>
      </c>
      <c r="E12" s="53">
        <v>0</v>
      </c>
    </row>
    <row r="13" spans="1:5" ht="13.15" x14ac:dyDescent="0.4">
      <c r="B13" s="23"/>
      <c r="C13" s="21">
        <v>1</v>
      </c>
      <c r="D13" s="21">
        <v>1</v>
      </c>
      <c r="E13" s="21">
        <v>1</v>
      </c>
    </row>
    <row r="22" ht="11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Herold Maboa</dc:creator>
  <cp:lastModifiedBy>David Milne</cp:lastModifiedBy>
  <dcterms:created xsi:type="dcterms:W3CDTF">2016-03-09T09:54:02Z</dcterms:created>
  <dcterms:modified xsi:type="dcterms:W3CDTF">2023-11-20T07:44:04Z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