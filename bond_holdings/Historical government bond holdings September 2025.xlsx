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5\September\"/>
    </mc:Choice>
  </mc:AlternateContent>
  <xr:revisionPtr revIDLastSave="0" documentId="13_ncr:1_{50B78A70-1DB2-4EE7-946E-6B64B237791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5"/>
  <c r="A1" i="6"/>
  <c r="A1" i="7"/>
  <c r="A1" i="8" s="1"/>
  <c r="A1" i="9" s="1"/>
  <c r="A1" i="3"/>
</calcChain>
</file>

<file path=xl/sharedStrings.xml><?xml version="1.0" encoding="utf-8"?>
<sst xmlns="http://schemas.openxmlformats.org/spreadsheetml/2006/main" count="353" uniqueCount="94">
  <si>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</si>
  <si>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</si>
  <si>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</si>
  <si>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</si>
  <si>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</si>
  <si>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</si>
  <si>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</si>
  <si>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</si>
  <si>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</si>
  <si>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</si>
  <si>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</si>
  <si>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</si>
  <si>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</si>
  <si>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</si>
  <si>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</si>
  <si>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</si>
  <si>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</si>
  <si>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</si>
  <si>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</si>
  <si>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</si>
  <si>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</si>
  <si>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</si>
  <si>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</si>
  <si>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</si>
  <si>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</si>
  <si>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</si>
  <si>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</si>
  <si>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</si>
  <si>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</si>
  <si>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</si>
  <si>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</si>
  <si>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</si>
  <si>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</si>
  <si>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</si>
  <si>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</si>
  <si>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</si>
  <si>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</si>
  <si>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</si>
  <si>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</si>
  <si>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</si>
  <si>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</si>
  <si>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</si>
  <si>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</si>
  <si>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</si>
  <si>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</si>
  <si>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</si>
  <si>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</si>
  <si>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</si>
  <si>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</si>
  <si>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</si>
  <si>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</si>
  <si>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</si>
  <si>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</si>
  <si>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</si>
  <si>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</si>
  <si>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</si>
  <si>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</si>
  <si>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</si>
  <si>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</si>
  <si>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</si>
  <si>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</si>
  <si>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</si>
  <si>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</si>
  <si>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</si>
  <si>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</si>
  <si>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</si>
  <si>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</si>
  <si>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</si>
  <si>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</si>
  <si>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</si>
  <si>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</si>
  <si>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</si>
  <si>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</si>
  <si>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</si>
  <si>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</si>
  <si>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</si>
  <si>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</si>
  <si>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</si>
  <si>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</si>
  <si>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</si>
  <si>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</si>
  <si>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</si>
  <si>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</si>
  <si>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</si>
  <si>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</si>
  <si>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</si>
  <si>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</si>
  <si>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</si>
  <si>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R2033 (2033)</t>
  </si>
  <si>
    <t>R2038 (2038)</t>
  </si>
  <si>
    <t>2025</t>
  </si>
  <si>
    <t>RN2032 (2032)</t>
  </si>
  <si>
    <t>RN2035 (2035)</t>
  </si>
  <si>
    <t>29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</si>
</sst>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3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7" fontId="2" fillId="0" borderId="10" xfId="31" applyNumberFormat="1" applyBorder="1"/>
    <xf numFmtId="167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3" fillId="0" borderId="24" xfId="55" applyFont="1" applyBorder="1"/>
    <xf numFmtId="0" fontId="2" fillId="24" borderId="20" xfId="0" applyFont="1" applyFill="1" applyBorder="1" applyAlignment="1">
      <alignment horizontal="center"/>
    </xf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zoomScale="50" zoomScaleNormal="50" workbookViewId="0">
      <pane ySplit="1" topLeftCell="A164" activePane="bottomLeft" state="frozen"/>
      <selection pane="bottomLeft" activeCell="C182" sqref="C182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2" t="s">
        <v>0</v>
      </c>
      <c r="B1" s="72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67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68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69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72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73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74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76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83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1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1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1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1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1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1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1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1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1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1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1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  <row r="172" spans="1:8" x14ac:dyDescent="0.35">
      <c r="A172" s="55" t="s">
        <v>90</v>
      </c>
      <c r="B172" s="14" t="s">
        <v>39</v>
      </c>
      <c r="C172" s="9">
        <v>0.2470125184059844</v>
      </c>
      <c r="D172" s="9">
        <v>0.20699893827494958</v>
      </c>
      <c r="E172" s="9">
        <v>7.7243474489960329E-2</v>
      </c>
      <c r="F172" s="9">
        <v>0.22615384302323935</v>
      </c>
      <c r="G172" s="9">
        <v>0.23026693038894089</v>
      </c>
      <c r="H172" s="9">
        <v>1.2324295416925424E-2</v>
      </c>
    </row>
    <row r="173" spans="1:8" x14ac:dyDescent="0.35">
      <c r="B173" s="5" t="s">
        <v>33</v>
      </c>
      <c r="C173" s="6">
        <v>0.24882917300870791</v>
      </c>
      <c r="D173" s="6">
        <v>0.21349703181359758</v>
      </c>
      <c r="E173" s="6">
        <v>7.7325684259202845E-2</v>
      </c>
      <c r="F173" s="6">
        <v>0.22795156463244262</v>
      </c>
      <c r="G173" s="6">
        <v>0.21995464735706677</v>
      </c>
      <c r="H173" s="6">
        <v>1.244189892898223E-2</v>
      </c>
    </row>
    <row r="174" spans="1:8" x14ac:dyDescent="0.35">
      <c r="B174" s="5" t="s">
        <v>25</v>
      </c>
      <c r="C174" s="6">
        <v>0.24967919710360006</v>
      </c>
      <c r="D174" s="6">
        <v>0.20907337375814286</v>
      </c>
      <c r="E174" s="6">
        <v>7.4513025232185226E-2</v>
      </c>
      <c r="F174" s="6">
        <v>0.22662729818045299</v>
      </c>
      <c r="G174" s="6">
        <v>0.22744254956886656</v>
      </c>
      <c r="H174" s="6">
        <v>1.2664556156752263E-2</v>
      </c>
    </row>
    <row r="175" spans="1:8" x14ac:dyDescent="0.35">
      <c r="B175" s="5" t="s">
        <v>26</v>
      </c>
      <c r="C175" s="6">
        <v>0.24815537147471178</v>
      </c>
      <c r="D175" s="6">
        <v>0.20809436744644191</v>
      </c>
      <c r="E175" s="6">
        <v>7.3592781641961022E-2</v>
      </c>
      <c r="F175" s="6">
        <v>0.22641543582422868</v>
      </c>
      <c r="G175" s="6">
        <v>0.23080133851982673</v>
      </c>
      <c r="H175" s="6">
        <v>1.2940705092829814E-2</v>
      </c>
    </row>
    <row r="176" spans="1:8" x14ac:dyDescent="0.35">
      <c r="B176" s="5" t="s">
        <v>15</v>
      </c>
      <c r="C176" s="6">
        <v>0.24476606255862204</v>
      </c>
      <c r="D176" s="6">
        <v>0.21511751584674363</v>
      </c>
      <c r="E176" s="6">
        <v>7.5198683052154061E-2</v>
      </c>
      <c r="F176" s="6">
        <v>0.22535460579310077</v>
      </c>
      <c r="G176" s="6">
        <v>0.22658465060602445</v>
      </c>
      <c r="H176" s="6">
        <v>1.297848214335507E-2</v>
      </c>
    </row>
    <row r="177" spans="2:8" x14ac:dyDescent="0.35">
      <c r="B177" s="5" t="s">
        <v>34</v>
      </c>
      <c r="C177" s="6">
        <v>0.25074492506486762</v>
      </c>
      <c r="D177" s="6">
        <v>0.2151969663295947</v>
      </c>
      <c r="E177" s="6">
        <v>7.508559814965024E-2</v>
      </c>
      <c r="F177" s="6">
        <v>0.22149054138815949</v>
      </c>
      <c r="G177" s="6">
        <v>0.22453714027405225</v>
      </c>
      <c r="H177" s="6">
        <v>1.2944828793675695E-2</v>
      </c>
    </row>
    <row r="178" spans="2:8" x14ac:dyDescent="0.35">
      <c r="B178" s="5" t="s">
        <v>27</v>
      </c>
      <c r="C178" s="6">
        <v>0.24659002107974323</v>
      </c>
      <c r="D178" s="6">
        <v>0.21572896009578812</v>
      </c>
      <c r="E178" s="6">
        <v>7.6010382002739421E-2</v>
      </c>
      <c r="F178" s="6">
        <v>0.22079269523242323</v>
      </c>
      <c r="G178" s="6">
        <v>0.22782584871456291</v>
      </c>
      <c r="H178" s="6">
        <v>1.3052092874743104E-2</v>
      </c>
    </row>
    <row r="179" spans="2:8" x14ac:dyDescent="0.35">
      <c r="B179" s="5" t="s">
        <v>37</v>
      </c>
      <c r="C179" s="6">
        <v>0.25198227333831774</v>
      </c>
      <c r="D179" s="6">
        <v>0.20665516158520569</v>
      </c>
      <c r="E179" s="6">
        <v>7.5711652117946712E-2</v>
      </c>
      <c r="F179" s="6">
        <v>0.21856492562641905</v>
      </c>
      <c r="G179" s="6">
        <v>0.23398449521921288</v>
      </c>
      <c r="H179" s="6">
        <v>1.3101492112897869E-2</v>
      </c>
    </row>
    <row r="180" spans="2:8" x14ac:dyDescent="0.35">
      <c r="B180" s="5" t="s">
        <v>29</v>
      </c>
      <c r="C180" s="6">
        <v>0.26847198300620184</v>
      </c>
      <c r="D180" s="6">
        <v>0.19612809687277316</v>
      </c>
      <c r="E180" s="6">
        <v>7.5495305128554499E-2</v>
      </c>
      <c r="F180" s="6">
        <v>0.21768370508006904</v>
      </c>
      <c r="G180" s="6">
        <v>0.22946656920908759</v>
      </c>
      <c r="H180" s="6">
        <v>1.2754340703313858E-2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 A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tabSelected="1" topLeftCell="J1" zoomScale="59" workbookViewId="0">
      <selection activeCell="C3" sqref="C3:Q12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453125" style="15" bestFit="1" customWidth="1"/>
    <col min="7" max="7" width="15.36328125" style="15" bestFit="1" customWidth="1"/>
    <col min="8" max="8" width="16.1796875" style="15" customWidth="1"/>
    <col min="9" max="10" width="16.453125" style="15" bestFit="1" customWidth="1"/>
    <col min="11" max="11" width="15.36328125" style="15" bestFit="1" customWidth="1"/>
    <col min="12" max="12" width="16.453125" style="15" bestFit="1" customWidth="1"/>
    <col min="13" max="13" width="15.36328125" style="15" bestFit="1" customWidth="1"/>
    <col min="14" max="14" width="16.453125" style="15" bestFit="1" customWidth="1"/>
    <col min="15" max="15" width="20.54296875" style="15" bestFit="1" customWidth="1"/>
    <col min="16" max="16" width="15.36328125" bestFit="1" customWidth="1"/>
    <col min="17" max="17" width="18" bestFit="1" customWidth="1"/>
    <col min="18" max="18" width="20.54296875" bestFit="1" customWidth="1"/>
  </cols>
  <sheetData>
    <row r="1" spans="1:18" x14ac:dyDescent="0.35">
      <c r="A1" s="39" t="s">
        <v>93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88</v>
      </c>
      <c r="H2" s="41" t="s">
        <v>45</v>
      </c>
      <c r="I2" s="41" t="s">
        <v>46</v>
      </c>
      <c r="J2" s="41" t="s">
        <v>47</v>
      </c>
      <c r="K2" s="41" t="s">
        <v>89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77</v>
      </c>
      <c r="Q2" s="53" t="s">
        <v>52</v>
      </c>
    </row>
    <row r="3" spans="1:18" x14ac:dyDescent="0.35">
      <c r="B3" s="18" t="s">
        <v>53</v>
      </c>
      <c r="C3" s="64">
        <v>105563747369.95</v>
      </c>
      <c r="D3" s="64">
        <v>92051701283.48999</v>
      </c>
      <c r="E3" s="64">
        <v>81929952665</v>
      </c>
      <c r="F3" s="64">
        <v>77428050661</v>
      </c>
      <c r="G3" s="64">
        <v>5267382648</v>
      </c>
      <c r="H3" s="64">
        <v>167829182842</v>
      </c>
      <c r="I3" s="64">
        <v>38728270342.32</v>
      </c>
      <c r="J3" s="64">
        <v>117062742087</v>
      </c>
      <c r="K3" s="64">
        <v>7611314977</v>
      </c>
      <c r="L3" s="64">
        <v>124624678318</v>
      </c>
      <c r="M3" s="64">
        <v>45586242307</v>
      </c>
      <c r="N3" s="64">
        <v>110724818005</v>
      </c>
      <c r="O3" s="64">
        <v>120818290433</v>
      </c>
      <c r="P3" s="64">
        <v>17540115282</v>
      </c>
      <c r="Q3" s="54">
        <v>1112766489220.76</v>
      </c>
      <c r="R3" s="51"/>
    </row>
    <row r="4" spans="1:18" x14ac:dyDescent="0.35">
      <c r="B4" s="18" t="s">
        <v>71</v>
      </c>
      <c r="C4" s="64">
        <v>99074482501.649994</v>
      </c>
      <c r="D4" s="64">
        <v>86405803489.539993</v>
      </c>
      <c r="E4" s="64">
        <v>47437776971</v>
      </c>
      <c r="F4" s="64">
        <v>88465771359.199997</v>
      </c>
      <c r="G4" s="64">
        <v>16536679835</v>
      </c>
      <c r="H4" s="64">
        <v>35604735677.789993</v>
      </c>
      <c r="I4" s="64">
        <v>11685665050</v>
      </c>
      <c r="J4" s="64">
        <v>47837176526.690002</v>
      </c>
      <c r="K4" s="64">
        <v>13890203886.01</v>
      </c>
      <c r="L4" s="64">
        <v>22235699328</v>
      </c>
      <c r="M4" s="64">
        <v>7181755311</v>
      </c>
      <c r="N4" s="64">
        <v>36084928536.099998</v>
      </c>
      <c r="O4" s="64">
        <v>122286518685.58</v>
      </c>
      <c r="P4" s="64">
        <v>5352029271</v>
      </c>
      <c r="Q4" s="54">
        <v>640079226428.55994</v>
      </c>
    </row>
    <row r="5" spans="1:18" x14ac:dyDescent="0.35">
      <c r="B5" s="18" t="s">
        <v>54</v>
      </c>
      <c r="C5" s="64">
        <v>14086757977.9</v>
      </c>
      <c r="D5" s="64">
        <v>17520539788.57</v>
      </c>
      <c r="E5" s="64">
        <v>9945643496</v>
      </c>
      <c r="F5" s="64">
        <v>10277779271</v>
      </c>
      <c r="G5" s="64">
        <v>641349724</v>
      </c>
      <c r="H5" s="64">
        <v>12838876690</v>
      </c>
      <c r="I5" s="64">
        <v>7999219397</v>
      </c>
      <c r="J5" s="64">
        <v>22630567821.75</v>
      </c>
      <c r="K5" s="64">
        <v>3298696280</v>
      </c>
      <c r="L5" s="64">
        <v>24935539543</v>
      </c>
      <c r="M5" s="64">
        <v>9727581063</v>
      </c>
      <c r="N5" s="64">
        <v>28662997564</v>
      </c>
      <c r="O5" s="64">
        <v>36588380232</v>
      </c>
      <c r="P5" s="64">
        <v>26377666539</v>
      </c>
      <c r="Q5" s="54">
        <v>225531595387.22</v>
      </c>
    </row>
    <row r="6" spans="1:18" x14ac:dyDescent="0.35">
      <c r="B6" s="18" t="s">
        <v>55</v>
      </c>
      <c r="C6" s="64">
        <v>2413542949</v>
      </c>
      <c r="D6" s="64">
        <v>3752026098.4299998</v>
      </c>
      <c r="E6" s="64">
        <v>2395218698</v>
      </c>
      <c r="F6" s="64">
        <v>3402796184</v>
      </c>
      <c r="G6" s="64">
        <v>672925499</v>
      </c>
      <c r="H6" s="64">
        <v>3280662765</v>
      </c>
      <c r="I6" s="64">
        <v>401993196</v>
      </c>
      <c r="J6" s="64">
        <v>3993697030</v>
      </c>
      <c r="K6" s="64">
        <v>702676310</v>
      </c>
      <c r="L6" s="64">
        <v>2440901861</v>
      </c>
      <c r="M6" s="64">
        <v>589049264</v>
      </c>
      <c r="N6" s="64">
        <v>1887576813</v>
      </c>
      <c r="O6" s="64">
        <v>4025734026</v>
      </c>
      <c r="P6" s="64">
        <v>288230377</v>
      </c>
      <c r="Q6" s="54">
        <v>30247031070.43</v>
      </c>
    </row>
    <row r="7" spans="1:18" x14ac:dyDescent="0.35">
      <c r="B7" s="18" t="s">
        <v>56</v>
      </c>
      <c r="C7" s="64">
        <v>2592450050.73</v>
      </c>
      <c r="D7" s="64">
        <v>4898397110</v>
      </c>
      <c r="E7" s="64">
        <v>4062733668</v>
      </c>
      <c r="F7" s="64">
        <v>8304861815</v>
      </c>
      <c r="G7" s="64">
        <v>503725410</v>
      </c>
      <c r="H7" s="64">
        <v>7564781063</v>
      </c>
      <c r="I7" s="64">
        <v>3842187901</v>
      </c>
      <c r="J7" s="64">
        <v>10157193950</v>
      </c>
      <c r="K7" s="64">
        <v>1600056664</v>
      </c>
      <c r="L7" s="64">
        <v>9857355044</v>
      </c>
      <c r="M7" s="64">
        <v>2701966188</v>
      </c>
      <c r="N7" s="64">
        <v>6907137797</v>
      </c>
      <c r="O7" s="64">
        <v>12040718073</v>
      </c>
      <c r="P7" s="64">
        <v>1661087436</v>
      </c>
      <c r="Q7" s="54">
        <v>76694652169.729996</v>
      </c>
    </row>
    <row r="8" spans="1:18" x14ac:dyDescent="0.35">
      <c r="B8" s="18" t="s">
        <v>57</v>
      </c>
      <c r="C8" s="64">
        <v>1937777199.51</v>
      </c>
      <c r="D8" s="64">
        <v>52886620264</v>
      </c>
      <c r="E8" s="64">
        <v>21868183560</v>
      </c>
      <c r="F8" s="64">
        <v>53198108625</v>
      </c>
      <c r="G8" s="64">
        <v>3423432626</v>
      </c>
      <c r="H8" s="64">
        <v>51642884255</v>
      </c>
      <c r="I8" s="64">
        <v>15892553202</v>
      </c>
      <c r="J8" s="64">
        <v>60168731080</v>
      </c>
      <c r="K8" s="64">
        <v>2912002778</v>
      </c>
      <c r="L8" s="64">
        <v>47692053457</v>
      </c>
      <c r="M8" s="64">
        <v>8867496338</v>
      </c>
      <c r="N8" s="64">
        <v>54983756181</v>
      </c>
      <c r="O8" s="64">
        <v>72605357079</v>
      </c>
      <c r="P8" s="64">
        <v>7273271870</v>
      </c>
      <c r="Q8" s="54">
        <v>455352228514.51001</v>
      </c>
    </row>
    <row r="9" spans="1:18" x14ac:dyDescent="0.35">
      <c r="B9" s="18" t="s">
        <v>5</v>
      </c>
      <c r="C9" s="64">
        <v>68463923631.699997</v>
      </c>
      <c r="D9" s="64">
        <v>81681088767.970001</v>
      </c>
      <c r="E9" s="64">
        <v>48075134771</v>
      </c>
      <c r="F9" s="64">
        <v>102787251756</v>
      </c>
      <c r="G9" s="64">
        <v>12841452448</v>
      </c>
      <c r="H9" s="64">
        <v>84138157048.209991</v>
      </c>
      <c r="I9" s="64">
        <v>23066158104.68</v>
      </c>
      <c r="J9" s="64">
        <v>86248661830.25</v>
      </c>
      <c r="K9" s="64">
        <v>15576927952.99</v>
      </c>
      <c r="L9" s="64">
        <v>74440954866</v>
      </c>
      <c r="M9" s="64">
        <v>17891785259</v>
      </c>
      <c r="N9" s="64">
        <v>60143090428</v>
      </c>
      <c r="O9" s="64">
        <v>76915064384.419998</v>
      </c>
      <c r="P9" s="64">
        <v>31308472227</v>
      </c>
      <c r="Q9" s="54">
        <v>783578123475.22009</v>
      </c>
    </row>
    <row r="10" spans="1:18" x14ac:dyDescent="0.35">
      <c r="B10" s="18" t="s">
        <v>58</v>
      </c>
      <c r="C10" s="64">
        <v>2212013193.4499998</v>
      </c>
      <c r="D10" s="64">
        <v>4680043085</v>
      </c>
      <c r="E10" s="64">
        <v>2461967675</v>
      </c>
      <c r="F10" s="64">
        <v>5658525951.8000002</v>
      </c>
      <c r="G10" s="64">
        <v>80556399</v>
      </c>
      <c r="H10" s="64">
        <v>6359542486</v>
      </c>
      <c r="I10" s="64">
        <v>2642504952</v>
      </c>
      <c r="J10" s="64">
        <v>4799496998.3099995</v>
      </c>
      <c r="K10" s="64">
        <v>616789519</v>
      </c>
      <c r="L10" s="64">
        <v>7001806559</v>
      </c>
      <c r="M10" s="64">
        <v>835980766</v>
      </c>
      <c r="N10" s="64">
        <v>2060366581.9000001</v>
      </c>
      <c r="O10" s="64">
        <v>1615786663</v>
      </c>
      <c r="P10" s="64">
        <v>554636189</v>
      </c>
      <c r="Q10" s="54">
        <v>41580017018.459999</v>
      </c>
    </row>
    <row r="11" spans="1:18" x14ac:dyDescent="0.35">
      <c r="A11" s="17"/>
      <c r="B11" s="19" t="s">
        <v>59</v>
      </c>
      <c r="C11" s="65">
        <v>780061365</v>
      </c>
      <c r="D11" s="65">
        <v>147440144.00006104</v>
      </c>
      <c r="E11" s="65">
        <v>549740</v>
      </c>
      <c r="F11" s="65">
        <v>34345328.000061035</v>
      </c>
      <c r="G11" s="65">
        <v>0</v>
      </c>
      <c r="H11" s="65">
        <v>248923062.99993896</v>
      </c>
      <c r="I11" s="65">
        <v>4000000</v>
      </c>
      <c r="J11" s="65">
        <v>2478683</v>
      </c>
      <c r="K11" s="65">
        <v>0</v>
      </c>
      <c r="L11" s="65">
        <v>5821732</v>
      </c>
      <c r="M11" s="65">
        <v>0</v>
      </c>
      <c r="N11" s="65">
        <v>8205000</v>
      </c>
      <c r="O11" s="65">
        <v>76000</v>
      </c>
      <c r="P11" s="65">
        <v>0</v>
      </c>
      <c r="Q11" s="54">
        <v>1231901055.000061</v>
      </c>
    </row>
    <row r="12" spans="1:18" x14ac:dyDescent="0.35">
      <c r="B12" s="19"/>
      <c r="C12" s="20">
        <v>297124756238.89001</v>
      </c>
      <c r="D12" s="20">
        <v>344023660031.00006</v>
      </c>
      <c r="E12" s="20">
        <v>218177161244</v>
      </c>
      <c r="F12" s="20">
        <v>349557490951.00006</v>
      </c>
      <c r="G12" s="20">
        <v>39967504589</v>
      </c>
      <c r="H12" s="20">
        <v>369507745889.99994</v>
      </c>
      <c r="I12" s="20">
        <v>104262552145</v>
      </c>
      <c r="J12" s="20">
        <v>352900746007</v>
      </c>
      <c r="K12" s="20">
        <v>46208668367</v>
      </c>
      <c r="L12" s="20">
        <v>313234810708</v>
      </c>
      <c r="M12" s="20">
        <v>93381856496</v>
      </c>
      <c r="N12" s="20">
        <v>301462876906</v>
      </c>
      <c r="O12" s="20">
        <v>446895925576</v>
      </c>
      <c r="P12" s="20">
        <v>90355509191</v>
      </c>
      <c r="Q12" s="20">
        <v>3367061264339.8901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opLeftCell="B1" zoomScale="74" workbookViewId="0">
      <selection activeCell="K25" sqref="K25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29 September 2025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88</v>
      </c>
      <c r="H2" s="45" t="s">
        <v>45</v>
      </c>
      <c r="I2" s="45" t="s">
        <v>46</v>
      </c>
      <c r="J2" s="45" t="s">
        <v>47</v>
      </c>
      <c r="K2" s="45" t="s">
        <v>89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77</v>
      </c>
      <c r="Q2" s="45" t="s">
        <v>70</v>
      </c>
    </row>
    <row r="3" spans="1:17" x14ac:dyDescent="0.35">
      <c r="B3" s="46" t="s">
        <v>53</v>
      </c>
      <c r="C3" s="67">
        <v>0.3552842540157648</v>
      </c>
      <c r="D3" s="67">
        <v>0.26757375139603823</v>
      </c>
      <c r="E3" s="67">
        <v>0.37552029826519306</v>
      </c>
      <c r="F3" s="67">
        <v>0.22150305075811874</v>
      </c>
      <c r="G3" s="67">
        <v>0.13179163178102712</v>
      </c>
      <c r="H3" s="67">
        <v>0.4541966567920383</v>
      </c>
      <c r="I3" s="67">
        <v>0.37144947582387805</v>
      </c>
      <c r="J3" s="67">
        <v>0.33171576827632432</v>
      </c>
      <c r="K3" s="67">
        <v>0.16471617222442259</v>
      </c>
      <c r="L3" s="67">
        <v>0.39786343681378417</v>
      </c>
      <c r="M3" s="67">
        <v>0.48817022939517896</v>
      </c>
      <c r="N3" s="67">
        <v>0.36729171810937578</v>
      </c>
      <c r="O3" s="67">
        <v>0.27034994842989096</v>
      </c>
      <c r="P3" s="67">
        <v>0.19412336269305325</v>
      </c>
      <c r="Q3" s="67">
        <v>0.33048596442420747</v>
      </c>
    </row>
    <row r="4" spans="1:17" x14ac:dyDescent="0.35">
      <c r="B4" s="47" t="s">
        <v>71</v>
      </c>
      <c r="C4" s="67">
        <v>0.33344405143404993</v>
      </c>
      <c r="D4" s="67">
        <v>0.25116238656885964</v>
      </c>
      <c r="E4" s="67">
        <v>0.21742778529393195</v>
      </c>
      <c r="F4" s="67">
        <v>0.25307931784989518</v>
      </c>
      <c r="G4" s="67">
        <v>0.4137531228194638</v>
      </c>
      <c r="H4" s="67">
        <v>9.6357210569516155E-2</v>
      </c>
      <c r="I4" s="67">
        <v>0.11207921549578523</v>
      </c>
      <c r="J4" s="67">
        <v>0.13555419496262874</v>
      </c>
      <c r="K4" s="67">
        <v>0.30059736358751499</v>
      </c>
      <c r="L4" s="67">
        <v>7.0987318675536024E-2</v>
      </c>
      <c r="M4" s="67">
        <v>7.6907394867520434E-2</v>
      </c>
      <c r="N4" s="67">
        <v>0.1196994101112879</v>
      </c>
      <c r="O4" s="67">
        <v>0.27363534032664549</v>
      </c>
      <c r="P4" s="67">
        <v>5.9233015440004817E-2</v>
      </c>
      <c r="Q4" s="66">
        <v>0.20413961563726857</v>
      </c>
    </row>
    <row r="5" spans="1:17" x14ac:dyDescent="0.35">
      <c r="B5" s="47" t="s">
        <v>54</v>
      </c>
      <c r="C5" s="67">
        <v>4.7410246645938063E-2</v>
      </c>
      <c r="D5" s="67">
        <v>5.0928298905346274E-2</v>
      </c>
      <c r="E5" s="67">
        <v>4.5585172340184672E-2</v>
      </c>
      <c r="F5" s="67">
        <v>2.9402257245406047E-2</v>
      </c>
      <c r="G5" s="67">
        <v>1.6046779267187838E-2</v>
      </c>
      <c r="H5" s="67">
        <v>3.4745893239872837E-2</v>
      </c>
      <c r="I5" s="67">
        <v>7.6721883671860697E-2</v>
      </c>
      <c r="J5" s="67">
        <v>6.4127288133590712E-2</v>
      </c>
      <c r="K5" s="67">
        <v>7.1386958260752864E-2</v>
      </c>
      <c r="L5" s="67">
        <v>7.9606540175527013E-2</v>
      </c>
      <c r="M5" s="67">
        <v>0.10416992580798262</v>
      </c>
      <c r="N5" s="67">
        <v>9.5079692259878126E-2</v>
      </c>
      <c r="O5" s="67">
        <v>8.1872261835552823E-2</v>
      </c>
      <c r="P5" s="67">
        <v>0.29193202246518235</v>
      </c>
      <c r="Q5" s="66">
        <v>6.7218271418500272E-2</v>
      </c>
    </row>
    <row r="6" spans="1:17" x14ac:dyDescent="0.35">
      <c r="B6" s="47" t="s">
        <v>55</v>
      </c>
      <c r="C6" s="67">
        <v>8.1229951335980155E-3</v>
      </c>
      <c r="D6" s="67">
        <v>1.0906302485392731E-2</v>
      </c>
      <c r="E6" s="67">
        <v>1.0978320023704451E-2</v>
      </c>
      <c r="F6" s="67">
        <v>9.7345823565171252E-3</v>
      </c>
      <c r="G6" s="67">
        <v>1.6836815455954311E-2</v>
      </c>
      <c r="H6" s="67">
        <v>8.8784681823060665E-3</v>
      </c>
      <c r="I6" s="67">
        <v>3.8555856127609469E-3</v>
      </c>
      <c r="J6" s="67">
        <v>1.1316771288210263E-2</v>
      </c>
      <c r="K6" s="67">
        <v>1.5206590772518723E-2</v>
      </c>
      <c r="L6" s="67">
        <v>7.7925625682626577E-3</v>
      </c>
      <c r="M6" s="67">
        <v>6.3079626610896503E-3</v>
      </c>
      <c r="N6" s="67">
        <v>6.2613905644792562E-3</v>
      </c>
      <c r="O6" s="67">
        <v>9.0082137598620285E-3</v>
      </c>
      <c r="P6" s="67">
        <v>3.189959080311504E-3</v>
      </c>
      <c r="Q6" s="66">
        <v>9.3615198025416065E-3</v>
      </c>
    </row>
    <row r="7" spans="1:17" x14ac:dyDescent="0.35">
      <c r="B7" s="47" t="s">
        <v>56</v>
      </c>
      <c r="C7" s="67">
        <v>8.7251230208689017E-3</v>
      </c>
      <c r="D7" s="67">
        <v>1.4238547167246009E-2</v>
      </c>
      <c r="E7" s="67">
        <v>1.8621260102730974E-2</v>
      </c>
      <c r="F7" s="67">
        <v>2.3758214399599725E-2</v>
      </c>
      <c r="G7" s="67">
        <v>1.2603374045489873E-2</v>
      </c>
      <c r="H7" s="67">
        <v>2.0472591297861414E-2</v>
      </c>
      <c r="I7" s="67">
        <v>3.6851082406429043E-2</v>
      </c>
      <c r="J7" s="67">
        <v>2.8782013257060458E-2</v>
      </c>
      <c r="K7" s="67">
        <v>3.4626764209952504E-2</v>
      </c>
      <c r="L7" s="67">
        <v>3.1469538847612645E-2</v>
      </c>
      <c r="M7" s="67">
        <v>2.8934594892271587E-2</v>
      </c>
      <c r="N7" s="67">
        <v>2.2912067541748214E-2</v>
      </c>
      <c r="O7" s="67">
        <v>2.6943002573766656E-2</v>
      </c>
      <c r="P7" s="67">
        <v>1.8383908749699737E-2</v>
      </c>
      <c r="Q7" s="66">
        <v>2.453949994057688E-2</v>
      </c>
    </row>
    <row r="8" spans="1:17" x14ac:dyDescent="0.35">
      <c r="B8" s="47" t="s">
        <v>57</v>
      </c>
      <c r="C8" s="67">
        <v>6.5217628582655562E-3</v>
      </c>
      <c r="D8" s="67">
        <v>0.1537296017931859</v>
      </c>
      <c r="E8" s="67">
        <v>0.10023131401706872</v>
      </c>
      <c r="F8" s="67">
        <v>0.15218700786605988</v>
      </c>
      <c r="G8" s="67">
        <v>8.5655400836363679E-2</v>
      </c>
      <c r="H8" s="67">
        <v>0.1397613035976078</v>
      </c>
      <c r="I8" s="67">
        <v>0.15242820049041109</v>
      </c>
      <c r="J8" s="67">
        <v>0.17049760240179973</v>
      </c>
      <c r="K8" s="67">
        <v>6.3018539181267805E-2</v>
      </c>
      <c r="L8" s="67">
        <v>0.1522565558700272</v>
      </c>
      <c r="M8" s="67">
        <v>9.4959520732807862E-2</v>
      </c>
      <c r="N8" s="67">
        <v>0.18238980781087896</v>
      </c>
      <c r="O8" s="67">
        <v>0.16246591862617596</v>
      </c>
      <c r="P8" s="67">
        <v>8.049616382134743E-2</v>
      </c>
      <c r="Q8" s="66">
        <v>0.14006002305373402</v>
      </c>
    </row>
    <row r="9" spans="1:17" x14ac:dyDescent="0.35">
      <c r="B9" s="47" t="s">
        <v>5</v>
      </c>
      <c r="C9" s="67">
        <v>0.23042147176943617</v>
      </c>
      <c r="D9" s="67">
        <v>0.23742869534208694</v>
      </c>
      <c r="E9" s="67">
        <v>0.22034907089672337</v>
      </c>
      <c r="F9" s="67">
        <v>0.29404963251211919</v>
      </c>
      <c r="G9" s="67">
        <v>0.32129732841850406</v>
      </c>
      <c r="H9" s="67">
        <v>0.22770336477129596</v>
      </c>
      <c r="I9" s="67">
        <v>0.22123147410204805</v>
      </c>
      <c r="J9" s="67">
        <v>0.24439920517634497</v>
      </c>
      <c r="K9" s="67">
        <v>0.33709969370409926</v>
      </c>
      <c r="L9" s="67">
        <v>0.23765224145343938</v>
      </c>
      <c r="M9" s="67">
        <v>0.1915980890759694</v>
      </c>
      <c r="N9" s="67">
        <v>0.19950413478855439</v>
      </c>
      <c r="O9" s="67">
        <v>0.17210956731208701</v>
      </c>
      <c r="P9" s="67">
        <v>0.34650319064461127</v>
      </c>
      <c r="Q9" s="66">
        <v>0.24287543269786241</v>
      </c>
    </row>
    <row r="10" spans="1:17" x14ac:dyDescent="0.35">
      <c r="B10" s="47" t="s">
        <v>58</v>
      </c>
      <c r="C10" s="67">
        <v>7.4447286771066913E-3</v>
      </c>
      <c r="D10" s="67">
        <v>1.36038407491458E-2</v>
      </c>
      <c r="E10" s="67">
        <v>1.1284259365015025E-2</v>
      </c>
      <c r="F10" s="67">
        <v>1.6187683280382614E-2</v>
      </c>
      <c r="G10" s="67">
        <v>2.0155473760093347E-3</v>
      </c>
      <c r="H10" s="67">
        <v>1.7210850264268059E-2</v>
      </c>
      <c r="I10" s="67">
        <v>2.5344717711542453E-2</v>
      </c>
      <c r="J10" s="67">
        <v>1.3600132764283809E-2</v>
      </c>
      <c r="K10" s="67">
        <v>1.3347918059471312E-2</v>
      </c>
      <c r="L10" s="67">
        <v>2.2353219756047933E-2</v>
      </c>
      <c r="M10" s="67">
        <v>8.9522825671795158E-3</v>
      </c>
      <c r="N10" s="67">
        <v>6.8345615322395028E-3</v>
      </c>
      <c r="O10" s="67">
        <v>3.6155770740523706E-3</v>
      </c>
      <c r="P10" s="67">
        <v>6.1383771057896422E-3</v>
      </c>
      <c r="Q10" s="66">
        <v>1.1963268683713991E-2</v>
      </c>
    </row>
    <row r="11" spans="1:17" x14ac:dyDescent="0.35">
      <c r="B11" s="47" t="s">
        <v>59</v>
      </c>
      <c r="C11" s="67">
        <v>2.6253664449717752E-3</v>
      </c>
      <c r="D11" s="67">
        <v>4.2857559269840673E-4</v>
      </c>
      <c r="E11" s="67">
        <v>2.5196954477980138E-6</v>
      </c>
      <c r="F11" s="67">
        <v>9.8253731901501329E-5</v>
      </c>
      <c r="G11" s="67">
        <v>0</v>
      </c>
      <c r="H11" s="67">
        <v>6.7366128523335949E-4</v>
      </c>
      <c r="I11" s="67">
        <v>3.8364685284483741E-5</v>
      </c>
      <c r="J11" s="67">
        <v>7.0237397569877446E-6</v>
      </c>
      <c r="K11" s="67">
        <v>0</v>
      </c>
      <c r="L11" s="67">
        <v>1.8585839762960015E-5</v>
      </c>
      <c r="M11" s="67">
        <v>0</v>
      </c>
      <c r="N11" s="67">
        <v>2.7217281557882912E-5</v>
      </c>
      <c r="O11" s="67">
        <v>1.7006196666940811E-7</v>
      </c>
      <c r="P11" s="67">
        <v>0</v>
      </c>
      <c r="Q11" s="66">
        <v>5.2413722571827408E-4</v>
      </c>
    </row>
    <row r="12" spans="1:17" ht="15" thickBot="1" x14ac:dyDescent="0.4">
      <c r="A12" s="17"/>
      <c r="B12" s="48"/>
      <c r="C12" s="49">
        <v>1</v>
      </c>
      <c r="D12" s="49">
        <v>0.99999999999999978</v>
      </c>
      <c r="E12" s="49">
        <v>1</v>
      </c>
      <c r="F12" s="49">
        <v>1</v>
      </c>
      <c r="G12" s="49">
        <v>0.99999999999999978</v>
      </c>
      <c r="H12" s="49">
        <v>0.99999999999999989</v>
      </c>
      <c r="I12" s="49">
        <v>1</v>
      </c>
      <c r="J12" s="49">
        <v>1</v>
      </c>
      <c r="K12" s="49">
        <v>1</v>
      </c>
      <c r="L12" s="49">
        <v>1</v>
      </c>
      <c r="M12" s="49">
        <v>1.0000000000000002</v>
      </c>
      <c r="N12" s="49">
        <v>1.0000000000000002</v>
      </c>
      <c r="O12" s="49">
        <v>1</v>
      </c>
      <c r="P12" s="49">
        <v>1</v>
      </c>
      <c r="Q12" s="49">
        <v>1.0311677328841236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59" workbookViewId="0">
      <selection activeCell="K19" sqref="K19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3" width="17.7265625" style="15" bestFit="1" customWidth="1"/>
    <col min="4" max="4" width="16.54296875" style="15" bestFit="1" customWidth="1"/>
    <col min="5" max="8" width="17.7265625" style="15" bestFit="1" customWidth="1"/>
    <col min="9" max="9" width="17.7265625" style="15" customWidth="1"/>
    <col min="10" max="10" width="18.7265625" style="15" bestFit="1" customWidth="1"/>
    <col min="11" max="12" width="18.81640625" style="28" customWidth="1"/>
    <col min="13" max="13" width="20.81640625" style="28" customWidth="1"/>
    <col min="14" max="16384" width="9.1796875" style="28"/>
  </cols>
  <sheetData>
    <row r="1" spans="1:13" x14ac:dyDescent="0.35">
      <c r="A1" s="39" t="str">
        <f>'Fixed rate bond (Values)'!A1</f>
        <v>29 September 2025</v>
      </c>
      <c r="C1" s="32"/>
      <c r="D1" s="32"/>
      <c r="E1" s="32"/>
      <c r="F1" s="32"/>
      <c r="G1" s="32"/>
      <c r="H1" s="32"/>
      <c r="I1" s="32"/>
    </row>
    <row r="2" spans="1:13" x14ac:dyDescent="0.35">
      <c r="A2" s="17"/>
      <c r="B2" s="18" t="s">
        <v>40</v>
      </c>
      <c r="C2" s="40" t="s">
        <v>60</v>
      </c>
      <c r="D2" s="40" t="s">
        <v>66</v>
      </c>
      <c r="E2" s="40" t="s">
        <v>78</v>
      </c>
      <c r="F2" s="40" t="s">
        <v>61</v>
      </c>
      <c r="G2" s="40" t="s">
        <v>62</v>
      </c>
      <c r="H2" s="40" t="s">
        <v>63</v>
      </c>
      <c r="I2" s="40" t="s">
        <v>80</v>
      </c>
      <c r="J2" s="40" t="s">
        <v>64</v>
      </c>
      <c r="K2" s="22" t="s">
        <v>65</v>
      </c>
      <c r="L2" s="22" t="s">
        <v>81</v>
      </c>
      <c r="M2" s="22" t="s">
        <v>82</v>
      </c>
    </row>
    <row r="3" spans="1:13" x14ac:dyDescent="0.35">
      <c r="B3" s="18" t="s">
        <v>53</v>
      </c>
      <c r="C3" s="64">
        <v>154762432</v>
      </c>
      <c r="D3" s="64">
        <v>589404808</v>
      </c>
      <c r="E3" s="64">
        <v>118810000</v>
      </c>
      <c r="F3" s="64">
        <v>8486844658</v>
      </c>
      <c r="G3" s="64">
        <v>296762777</v>
      </c>
      <c r="H3" s="64">
        <v>3954787180</v>
      </c>
      <c r="I3" s="64">
        <v>60400000</v>
      </c>
      <c r="J3" s="64">
        <v>8781658529</v>
      </c>
      <c r="K3" s="64">
        <v>4964915027</v>
      </c>
      <c r="L3" s="64">
        <v>94920000</v>
      </c>
      <c r="M3" s="20">
        <v>27503265411</v>
      </c>
    </row>
    <row r="4" spans="1:13" x14ac:dyDescent="0.35">
      <c r="B4" s="18" t="s">
        <v>71</v>
      </c>
      <c r="C4" s="64">
        <v>2443033711</v>
      </c>
      <c r="D4" s="64">
        <v>5412283915</v>
      </c>
      <c r="E4" s="64">
        <v>625071091</v>
      </c>
      <c r="F4" s="64">
        <v>5175358823</v>
      </c>
      <c r="G4" s="64">
        <v>4071554365.9699998</v>
      </c>
      <c r="H4" s="64">
        <v>6258166331.8899994</v>
      </c>
      <c r="I4" s="64">
        <v>213331093</v>
      </c>
      <c r="J4" s="64">
        <v>12833140102.99</v>
      </c>
      <c r="K4" s="64">
        <v>14722236302.449999</v>
      </c>
      <c r="L4" s="64">
        <v>74669537</v>
      </c>
      <c r="M4" s="20">
        <v>51828845273.299995</v>
      </c>
    </row>
    <row r="5" spans="1:13" x14ac:dyDescent="0.35">
      <c r="B5" s="18" t="s">
        <v>54</v>
      </c>
      <c r="C5" s="64">
        <v>1466425656</v>
      </c>
      <c r="D5" s="64">
        <v>7129333308</v>
      </c>
      <c r="E5" s="64">
        <v>1240146383</v>
      </c>
      <c r="F5" s="64">
        <v>3356159751</v>
      </c>
      <c r="G5" s="64">
        <v>1441538083.8499999</v>
      </c>
      <c r="H5" s="64">
        <v>5375613598</v>
      </c>
      <c r="I5" s="64">
        <v>1164290441</v>
      </c>
      <c r="J5" s="64">
        <v>6367201773</v>
      </c>
      <c r="K5" s="64">
        <v>6204384667</v>
      </c>
      <c r="L5" s="64">
        <v>310584508</v>
      </c>
      <c r="M5" s="20">
        <v>34055678168.849998</v>
      </c>
    </row>
    <row r="6" spans="1:13" x14ac:dyDescent="0.35">
      <c r="B6" s="18" t="s">
        <v>55</v>
      </c>
      <c r="C6" s="64">
        <v>172828474</v>
      </c>
      <c r="D6" s="64">
        <v>2468804679</v>
      </c>
      <c r="E6" s="64">
        <v>461554911</v>
      </c>
      <c r="F6" s="64">
        <v>1925483190</v>
      </c>
      <c r="G6" s="64">
        <v>457956065</v>
      </c>
      <c r="H6" s="64">
        <v>1375011851.45</v>
      </c>
      <c r="I6" s="64">
        <v>499799499</v>
      </c>
      <c r="J6" s="64">
        <v>1491228674</v>
      </c>
      <c r="K6" s="64">
        <v>2702596293.8099999</v>
      </c>
      <c r="L6" s="64">
        <v>842769911</v>
      </c>
      <c r="M6" s="20">
        <v>12398033548.26</v>
      </c>
    </row>
    <row r="7" spans="1:13" x14ac:dyDescent="0.35">
      <c r="B7" s="18" t="s">
        <v>56</v>
      </c>
      <c r="C7" s="64">
        <v>2645180177.75</v>
      </c>
      <c r="D7" s="64">
        <v>6120450245</v>
      </c>
      <c r="E7" s="64">
        <v>808015280</v>
      </c>
      <c r="F7" s="64">
        <v>8287405181</v>
      </c>
      <c r="G7" s="64">
        <v>3012336401.9300003</v>
      </c>
      <c r="H7" s="64">
        <v>11217126787</v>
      </c>
      <c r="I7" s="64">
        <v>1245123768</v>
      </c>
      <c r="J7" s="64">
        <v>16218519634</v>
      </c>
      <c r="K7" s="64">
        <v>20585227612.560001</v>
      </c>
      <c r="L7" s="64">
        <v>2254193736</v>
      </c>
      <c r="M7" s="20">
        <v>72393578823.240005</v>
      </c>
    </row>
    <row r="8" spans="1:13" x14ac:dyDescent="0.35">
      <c r="B8" s="18" t="s">
        <v>57</v>
      </c>
      <c r="C8" s="64">
        <v>19167663590</v>
      </c>
      <c r="D8" s="64">
        <v>34312680198</v>
      </c>
      <c r="E8" s="64">
        <v>1523436967</v>
      </c>
      <c r="F8" s="64">
        <v>45575747243</v>
      </c>
      <c r="G8" s="64">
        <v>23735350415</v>
      </c>
      <c r="H8" s="64">
        <v>61014137192</v>
      </c>
      <c r="I8" s="64">
        <v>7820613901</v>
      </c>
      <c r="J8" s="64">
        <v>56717501295</v>
      </c>
      <c r="K8" s="64">
        <v>63960876874</v>
      </c>
      <c r="L8" s="64">
        <v>5049589229</v>
      </c>
      <c r="M8" s="20">
        <v>318877596904</v>
      </c>
    </row>
    <row r="9" spans="1:13" x14ac:dyDescent="0.35">
      <c r="B9" s="18" t="s">
        <v>5</v>
      </c>
      <c r="C9" s="64">
        <v>5379208484.0200005</v>
      </c>
      <c r="D9" s="64">
        <v>23236129159</v>
      </c>
      <c r="E9" s="64">
        <v>6669130357</v>
      </c>
      <c r="F9" s="64">
        <v>21775668852</v>
      </c>
      <c r="G9" s="64">
        <v>4241203212.25</v>
      </c>
      <c r="H9" s="64">
        <v>9151756013.6599998</v>
      </c>
      <c r="I9" s="64">
        <v>2398851246</v>
      </c>
      <c r="J9" s="64">
        <v>8411658084.0100002</v>
      </c>
      <c r="K9" s="64">
        <v>6384592775.1800003</v>
      </c>
      <c r="L9" s="64">
        <v>961676910</v>
      </c>
      <c r="M9" s="20">
        <v>88609875093.119995</v>
      </c>
    </row>
    <row r="10" spans="1:13" x14ac:dyDescent="0.35">
      <c r="B10" s="18" t="s">
        <v>58</v>
      </c>
      <c r="C10" s="64">
        <v>478415037.23000002</v>
      </c>
      <c r="D10" s="64">
        <v>1577187219</v>
      </c>
      <c r="E10" s="64">
        <v>248835011</v>
      </c>
      <c r="F10" s="64">
        <v>718675374</v>
      </c>
      <c r="G10" s="64">
        <v>684483678</v>
      </c>
      <c r="H10" s="64">
        <v>950154883</v>
      </c>
      <c r="I10" s="64">
        <v>40537468</v>
      </c>
      <c r="J10" s="64">
        <v>2484805122</v>
      </c>
      <c r="K10" s="64">
        <v>2559496351</v>
      </c>
      <c r="L10" s="64">
        <v>183523000</v>
      </c>
      <c r="M10" s="20">
        <v>9926113143.2299995</v>
      </c>
    </row>
    <row r="11" spans="1:13" x14ac:dyDescent="0.35">
      <c r="B11" s="18" t="s">
        <v>59</v>
      </c>
      <c r="C11" s="65">
        <v>300000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20">
        <v>300000</v>
      </c>
    </row>
    <row r="12" spans="1:13" x14ac:dyDescent="0.35">
      <c r="A12" s="17"/>
      <c r="B12" s="18"/>
      <c r="C12" s="33">
        <v>31907817562</v>
      </c>
      <c r="D12" s="33">
        <v>80846273531</v>
      </c>
      <c r="E12" s="33">
        <v>11695000000</v>
      </c>
      <c r="F12" s="33">
        <v>95301343072</v>
      </c>
      <c r="G12" s="33">
        <v>37941184999</v>
      </c>
      <c r="H12" s="33">
        <v>99296753837</v>
      </c>
      <c r="I12" s="33">
        <v>13442947416</v>
      </c>
      <c r="J12" s="33">
        <v>113305713213.99998</v>
      </c>
      <c r="K12" s="33">
        <v>122084325903</v>
      </c>
      <c r="L12" s="33">
        <v>9771926831</v>
      </c>
      <c r="M12" s="33">
        <v>615593286365</v>
      </c>
    </row>
    <row r="13" spans="1:13" x14ac:dyDescent="0.35">
      <c r="C13" s="26"/>
      <c r="D13" s="26"/>
      <c r="E13" s="26"/>
      <c r="F13" s="26"/>
      <c r="G13" s="26"/>
      <c r="H13" s="26"/>
      <c r="I13" s="26"/>
      <c r="J13" s="26"/>
      <c r="K13" s="42"/>
      <c r="L13" s="42"/>
    </row>
    <row r="14" spans="1:13" x14ac:dyDescent="0.35">
      <c r="C14" s="34"/>
      <c r="D14" s="34"/>
      <c r="E14" s="34"/>
      <c r="F14" s="34"/>
      <c r="G14" s="34"/>
      <c r="H14" s="34"/>
      <c r="I14" s="34"/>
      <c r="J14" s="34"/>
      <c r="K14" s="42"/>
      <c r="L14" s="42"/>
    </row>
    <row r="15" spans="1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3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3:12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3:12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3:12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3:12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3:12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3:12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3:12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85" zoomScaleNormal="73" workbookViewId="0">
      <selection activeCell="C3" sqref="C3:M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" style="15" customWidth="1"/>
    <col min="5" max="5" width="11" style="15" bestFit="1" customWidth="1"/>
    <col min="6" max="8" width="11.26953125" style="15" bestFit="1" customWidth="1"/>
    <col min="9" max="9" width="11.26953125" style="15" customWidth="1"/>
    <col min="10" max="10" width="11.7265625" style="28" customWidth="1"/>
    <col min="11" max="12" width="11.08984375" style="28" bestFit="1" customWidth="1"/>
    <col min="13" max="16384" width="9.1796875" style="28"/>
  </cols>
  <sheetData>
    <row r="1" spans="1:13" x14ac:dyDescent="0.35">
      <c r="A1" s="39" t="str">
        <f>'Fixed rate bond (Values)'!A1</f>
        <v>29 September 2025</v>
      </c>
    </row>
    <row r="2" spans="1:13" x14ac:dyDescent="0.35">
      <c r="A2" s="17"/>
      <c r="B2" s="18"/>
      <c r="C2" s="22" t="s">
        <v>60</v>
      </c>
      <c r="D2" s="22" t="s">
        <v>66</v>
      </c>
      <c r="E2" s="22" t="s">
        <v>78</v>
      </c>
      <c r="F2" s="22" t="s">
        <v>61</v>
      </c>
      <c r="G2" s="22" t="s">
        <v>62</v>
      </c>
      <c r="H2" s="22" t="s">
        <v>63</v>
      </c>
      <c r="I2" s="22" t="s">
        <v>80</v>
      </c>
      <c r="J2" s="22" t="s">
        <v>64</v>
      </c>
      <c r="K2" s="43" t="s">
        <v>65</v>
      </c>
      <c r="L2" s="43" t="s">
        <v>81</v>
      </c>
      <c r="M2" s="43" t="s">
        <v>70</v>
      </c>
    </row>
    <row r="3" spans="1:13" x14ac:dyDescent="0.35">
      <c r="B3" s="18" t="s">
        <v>53</v>
      </c>
      <c r="C3" s="68">
        <v>4.850298259957188E-3</v>
      </c>
      <c r="D3" s="68">
        <v>7.2904387828586362E-3</v>
      </c>
      <c r="E3" s="68">
        <v>1.0159042325780248E-2</v>
      </c>
      <c r="F3" s="68">
        <v>8.9052728790907004E-2</v>
      </c>
      <c r="G3" s="68">
        <v>7.8216528294469886E-3</v>
      </c>
      <c r="H3" s="68">
        <v>3.982796040333763E-2</v>
      </c>
      <c r="I3" s="68">
        <v>4.4930622824657486E-3</v>
      </c>
      <c r="J3" s="68">
        <v>7.7504110603973886E-2</v>
      </c>
      <c r="K3" s="68">
        <v>4.0667915314082072E-2</v>
      </c>
      <c r="L3" s="68">
        <v>9.7135397799828251E-3</v>
      </c>
      <c r="M3" s="68">
        <v>4.4677656530991885E-2</v>
      </c>
    </row>
    <row r="4" spans="1:13" x14ac:dyDescent="0.35">
      <c r="B4" s="18" t="s">
        <v>71</v>
      </c>
      <c r="C4" s="68">
        <v>7.6565365407801622E-2</v>
      </c>
      <c r="D4" s="68">
        <v>6.6945372725493571E-2</v>
      </c>
      <c r="E4" s="68">
        <v>5.3447720478837113E-2</v>
      </c>
      <c r="F4" s="68">
        <v>5.430520343338735E-2</v>
      </c>
      <c r="G4" s="68">
        <v>0.10731226149307967</v>
      </c>
      <c r="H4" s="68">
        <v>6.302488339309717E-2</v>
      </c>
      <c r="I4" s="68">
        <v>1.5869369000587632E-2</v>
      </c>
      <c r="J4" s="68">
        <v>0.11326119168194199</v>
      </c>
      <c r="K4" s="68">
        <v>0.12059071624106192</v>
      </c>
      <c r="L4" s="68">
        <v>7.6412296460429772E-3</v>
      </c>
      <c r="M4" s="68">
        <v>8.4193324425844096E-2</v>
      </c>
    </row>
    <row r="5" spans="1:13" x14ac:dyDescent="0.35">
      <c r="B5" s="18" t="s">
        <v>54</v>
      </c>
      <c r="C5" s="68">
        <v>4.5958193572800524E-2</v>
      </c>
      <c r="D5" s="68">
        <v>8.8183820931045154E-2</v>
      </c>
      <c r="E5" s="68">
        <v>0.10604073390337751</v>
      </c>
      <c r="F5" s="68">
        <v>3.5216290167751643E-2</v>
      </c>
      <c r="G5" s="68">
        <v>3.7994018475911967E-2</v>
      </c>
      <c r="H5" s="68">
        <v>5.4136851309603801E-2</v>
      </c>
      <c r="I5" s="68">
        <v>8.6609759375703865E-2</v>
      </c>
      <c r="J5" s="68">
        <v>5.6194887198444218E-2</v>
      </c>
      <c r="K5" s="68">
        <v>5.0820485112311527E-2</v>
      </c>
      <c r="L5" s="68">
        <v>3.1783343589384679E-2</v>
      </c>
      <c r="M5" s="68">
        <v>5.5321717964054551E-2</v>
      </c>
    </row>
    <row r="6" spans="1:13" x14ac:dyDescent="0.35">
      <c r="B6" s="18" t="s">
        <v>55</v>
      </c>
      <c r="C6" s="68">
        <v>5.4164931106358942E-3</v>
      </c>
      <c r="D6" s="68">
        <v>3.0537025037441611E-2</v>
      </c>
      <c r="E6" s="68">
        <v>3.9466003505771695E-2</v>
      </c>
      <c r="F6" s="68">
        <v>2.0204155869506486E-2</v>
      </c>
      <c r="G6" s="68">
        <v>1.2070157139585128E-2</v>
      </c>
      <c r="H6" s="68">
        <v>1.3847500530653223E-2</v>
      </c>
      <c r="I6" s="68">
        <v>3.7179309234307581E-2</v>
      </c>
      <c r="J6" s="68">
        <v>1.3161107517884144E-2</v>
      </c>
      <c r="K6" s="68">
        <v>2.2137127545409075E-2</v>
      </c>
      <c r="L6" s="68">
        <v>8.6243984996534809E-2</v>
      </c>
      <c r="M6" s="68">
        <v>2.0139975244806211E-2</v>
      </c>
    </row>
    <row r="7" spans="1:13" x14ac:dyDescent="0.35">
      <c r="B7" s="18" t="s">
        <v>56</v>
      </c>
      <c r="C7" s="68">
        <v>8.2900692678531118E-2</v>
      </c>
      <c r="D7" s="68">
        <v>7.5704791052034717E-2</v>
      </c>
      <c r="E7" s="68">
        <v>6.9090660966224876E-2</v>
      </c>
      <c r="F7" s="68">
        <v>8.6960004065618254E-2</v>
      </c>
      <c r="G7" s="68">
        <v>7.9394895072713079E-2</v>
      </c>
      <c r="H7" s="68">
        <v>0.1129656947840753</v>
      </c>
      <c r="I7" s="68">
        <v>9.2622825149046906E-2</v>
      </c>
      <c r="J7" s="68">
        <v>0.14313946908721326</v>
      </c>
      <c r="K7" s="68">
        <v>0.1686148279912332</v>
      </c>
      <c r="L7" s="68">
        <v>0.23068057866017805</v>
      </c>
      <c r="M7" s="68">
        <v>0.11759968866898285</v>
      </c>
    </row>
    <row r="8" spans="1:13" x14ac:dyDescent="0.35">
      <c r="B8" s="18" t="s">
        <v>57</v>
      </c>
      <c r="C8" s="68">
        <v>0.60071998195286658</v>
      </c>
      <c r="D8" s="68">
        <v>0.42441882228304584</v>
      </c>
      <c r="E8" s="68">
        <v>0.13026395613510047</v>
      </c>
      <c r="F8" s="68">
        <v>0.47822775392123912</v>
      </c>
      <c r="G8" s="68">
        <v>0.62558273853664781</v>
      </c>
      <c r="H8" s="68">
        <v>0.61446255627004076</v>
      </c>
      <c r="I8" s="68">
        <v>0.58176333351507326</v>
      </c>
      <c r="J8" s="68">
        <v>0.50057053334881629</v>
      </c>
      <c r="K8" s="68">
        <v>0.52390735994085769</v>
      </c>
      <c r="L8" s="68">
        <v>0.51674447796527923</v>
      </c>
      <c r="M8" s="68">
        <v>0.51800044602002016</v>
      </c>
    </row>
    <row r="9" spans="1:13" x14ac:dyDescent="0.35">
      <c r="B9" s="18" t="s">
        <v>5</v>
      </c>
      <c r="C9" s="68">
        <v>0.16858591075894408</v>
      </c>
      <c r="D9" s="68">
        <v>0.28741125773830811</v>
      </c>
      <c r="E9" s="68">
        <v>0.57025484027362117</v>
      </c>
      <c r="F9" s="68">
        <v>0.2284927803750732</v>
      </c>
      <c r="G9" s="68">
        <v>0.11178362542872036</v>
      </c>
      <c r="H9" s="68">
        <v>9.2165711969628042E-2</v>
      </c>
      <c r="I9" s="68">
        <v>0.17844682209683055</v>
      </c>
      <c r="J9" s="68">
        <v>7.4238604968868069E-2</v>
      </c>
      <c r="K9" s="68">
        <v>5.2296580482024929E-2</v>
      </c>
      <c r="L9" s="68">
        <v>9.8412209447702931E-2</v>
      </c>
      <c r="M9" s="68">
        <v>0.14394223760358082</v>
      </c>
    </row>
    <row r="10" spans="1:13" x14ac:dyDescent="0.35">
      <c r="B10" s="18" t="s">
        <v>58</v>
      </c>
      <c r="C10" s="68">
        <v>1.4993662173866733E-2</v>
      </c>
      <c r="D10" s="68">
        <v>1.9508471449772354E-2</v>
      </c>
      <c r="E10" s="68">
        <v>2.1277042411286876E-2</v>
      </c>
      <c r="F10" s="68">
        <v>7.5410833765169709E-3</v>
      </c>
      <c r="G10" s="68">
        <v>1.8040651023895026E-2</v>
      </c>
      <c r="H10" s="68">
        <v>9.5688413395640416E-3</v>
      </c>
      <c r="I10" s="68">
        <v>3.0155193459844745E-3</v>
      </c>
      <c r="J10" s="68">
        <v>2.1930095592858235E-2</v>
      </c>
      <c r="K10" s="68">
        <v>2.0964987373019561E-2</v>
      </c>
      <c r="L10" s="68">
        <v>1.8780635914894522E-2</v>
      </c>
      <c r="M10" s="68">
        <v>1.6124466206969921E-2</v>
      </c>
    </row>
    <row r="11" spans="1:13" x14ac:dyDescent="0.35">
      <c r="B11" s="18" t="s">
        <v>59</v>
      </c>
      <c r="C11" s="68">
        <v>9.4020845962614255E-6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4.8733474949257785E-7</v>
      </c>
    </row>
    <row r="12" spans="1:13" x14ac:dyDescent="0.35">
      <c r="B12" s="23"/>
      <c r="C12" s="21">
        <v>0.99999999999999989</v>
      </c>
      <c r="D12" s="21">
        <v>0.99999999999999989</v>
      </c>
      <c r="E12" s="21">
        <v>1</v>
      </c>
      <c r="F12" s="21">
        <v>0.99999999999999989</v>
      </c>
      <c r="G12" s="21">
        <v>1</v>
      </c>
      <c r="H12" s="21">
        <v>1</v>
      </c>
      <c r="I12" s="21">
        <v>1</v>
      </c>
      <c r="J12" s="21">
        <v>1</v>
      </c>
      <c r="K12" s="21">
        <v>0.99999999999999989</v>
      </c>
      <c r="L12" s="21">
        <v>1</v>
      </c>
      <c r="M12" s="21">
        <v>1</v>
      </c>
    </row>
    <row r="13" spans="1:13" x14ac:dyDescent="0.35">
      <c r="C13" s="30"/>
      <c r="D13" s="30"/>
      <c r="E13" s="30"/>
      <c r="F13" s="30"/>
      <c r="G13" s="30"/>
      <c r="H13" s="30"/>
      <c r="I13" s="30"/>
    </row>
    <row r="17" spans="2:9" x14ac:dyDescent="0.35">
      <c r="B17" s="28"/>
      <c r="C17" s="28"/>
      <c r="D17" s="28"/>
      <c r="E17" s="28"/>
      <c r="F17" s="28"/>
      <c r="G17" s="28"/>
      <c r="H17" s="28"/>
      <c r="I17" s="28"/>
    </row>
    <row r="18" spans="2:9" x14ac:dyDescent="0.35">
      <c r="B18" s="28"/>
      <c r="C18" s="28"/>
      <c r="D18" s="28"/>
      <c r="E18" s="28"/>
      <c r="F18" s="28"/>
      <c r="G18" s="28"/>
      <c r="H18" s="28"/>
      <c r="I18" s="28"/>
    </row>
    <row r="19" spans="2:9" x14ac:dyDescent="0.35">
      <c r="B19" s="28"/>
      <c r="C19" s="28"/>
      <c r="D19" s="28"/>
      <c r="E19" s="28"/>
      <c r="F19" s="28"/>
      <c r="G19" s="28"/>
      <c r="H19" s="28"/>
      <c r="I19" s="28"/>
    </row>
    <row r="20" spans="2:9" x14ac:dyDescent="0.35">
      <c r="B20" s="28"/>
      <c r="C20" s="28"/>
      <c r="D20" s="28"/>
      <c r="E20" s="28"/>
      <c r="F20" s="28"/>
      <c r="G20" s="28"/>
      <c r="H20" s="28"/>
      <c r="I20" s="28"/>
    </row>
    <row r="21" spans="2:9" x14ac:dyDescent="0.35">
      <c r="B21" s="28"/>
      <c r="C21" s="28"/>
      <c r="D21" s="28"/>
      <c r="E21" s="28"/>
      <c r="F21" s="28"/>
      <c r="G21" s="28"/>
      <c r="H21" s="28"/>
      <c r="I21" s="28"/>
    </row>
    <row r="22" spans="2:9" x14ac:dyDescent="0.35">
      <c r="B22" s="28"/>
      <c r="C22" s="28"/>
      <c r="D22" s="28"/>
      <c r="E22" s="28"/>
      <c r="F22" s="28"/>
      <c r="G22" s="28"/>
      <c r="H22" s="28"/>
      <c r="I22" s="28"/>
    </row>
    <row r="23" spans="2:9" x14ac:dyDescent="0.35">
      <c r="B23" s="28"/>
      <c r="C23" s="28"/>
      <c r="D23" s="28"/>
      <c r="E23" s="28"/>
      <c r="F23" s="28"/>
      <c r="G23" s="28"/>
      <c r="H23" s="28"/>
      <c r="I23" s="28"/>
    </row>
    <row r="24" spans="2:9" x14ac:dyDescent="0.35">
      <c r="B24" s="28"/>
      <c r="C24" s="28"/>
      <c r="D24" s="28"/>
      <c r="E24" s="28"/>
      <c r="F24" s="28"/>
      <c r="G24" s="28"/>
      <c r="H24" s="28"/>
      <c r="I24" s="28"/>
    </row>
    <row r="25" spans="2:9" x14ac:dyDescent="0.35">
      <c r="B25" s="28"/>
      <c r="C25" s="28"/>
      <c r="D25" s="28"/>
      <c r="E25" s="28"/>
      <c r="F25" s="28"/>
      <c r="G25" s="28"/>
      <c r="H25" s="28"/>
      <c r="I25" s="28"/>
    </row>
    <row r="26" spans="2:9" x14ac:dyDescent="0.35">
      <c r="B26" s="28"/>
      <c r="C26" s="28"/>
      <c r="D26" s="28"/>
      <c r="E26" s="28"/>
      <c r="F26" s="28"/>
      <c r="G26" s="28"/>
      <c r="H26" s="28"/>
      <c r="I26" s="28"/>
    </row>
    <row r="27" spans="2:9" x14ac:dyDescent="0.35">
      <c r="B27" s="28"/>
      <c r="C27" s="28"/>
      <c r="D27" s="28"/>
      <c r="E27" s="28"/>
      <c r="F27" s="28"/>
      <c r="G27" s="28"/>
      <c r="H27" s="28"/>
      <c r="I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workbookViewId="0">
      <selection activeCell="F17" sqref="F17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6" width="15.54296875" style="15" customWidth="1"/>
    <col min="7" max="7" width="15.6328125" style="15" bestFit="1" customWidth="1"/>
    <col min="8" max="8" width="14.6328125" style="15" customWidth="1"/>
    <col min="9" max="9" width="11" style="15" bestFit="1" customWidth="1"/>
    <col min="10" max="12" width="11.26953125" style="15" bestFit="1" customWidth="1"/>
    <col min="13" max="13" width="11.7265625" style="28" customWidth="1"/>
    <col min="14" max="16384" width="9.1796875" style="28"/>
  </cols>
  <sheetData>
    <row r="1" spans="1:15" x14ac:dyDescent="0.35">
      <c r="A1" s="39" t="str">
        <f>'Fixed rate bond (Values)'!A1</f>
        <v>29 September 2025</v>
      </c>
    </row>
    <row r="2" spans="1:15" x14ac:dyDescent="0.35">
      <c r="A2" s="17"/>
      <c r="B2" s="18" t="s">
        <v>40</v>
      </c>
      <c r="C2" s="18" t="s">
        <v>75</v>
      </c>
      <c r="D2" s="53" t="s">
        <v>79</v>
      </c>
      <c r="E2" s="53" t="s">
        <v>91</v>
      </c>
      <c r="F2" s="53" t="s">
        <v>92</v>
      </c>
      <c r="G2" s="53" t="s">
        <v>52</v>
      </c>
      <c r="M2" s="15"/>
      <c r="N2" s="15"/>
    </row>
    <row r="3" spans="1:15" x14ac:dyDescent="0.35">
      <c r="B3" s="18" t="s">
        <v>53</v>
      </c>
      <c r="C3" s="64">
        <v>214814011</v>
      </c>
      <c r="D3" s="64">
        <v>668270000</v>
      </c>
      <c r="E3" s="64">
        <v>172330000</v>
      </c>
      <c r="F3" s="64">
        <v>35290000</v>
      </c>
      <c r="G3" s="54">
        <v>1090704011</v>
      </c>
      <c r="M3" s="15"/>
      <c r="N3" s="15"/>
      <c r="O3" s="50"/>
    </row>
    <row r="4" spans="1:15" x14ac:dyDescent="0.35">
      <c r="B4" s="18" t="s">
        <v>71</v>
      </c>
      <c r="C4" s="64">
        <v>49960164877</v>
      </c>
      <c r="D4" s="64">
        <v>53575323227</v>
      </c>
      <c r="E4" s="64">
        <v>21758064000</v>
      </c>
      <c r="F4" s="64">
        <v>1000000000</v>
      </c>
      <c r="G4" s="54">
        <v>126293552104</v>
      </c>
      <c r="M4" s="15"/>
      <c r="N4" s="15"/>
      <c r="O4" s="50"/>
    </row>
    <row r="5" spans="1:15" x14ac:dyDescent="0.35">
      <c r="B5" s="18" t="s">
        <v>54</v>
      </c>
      <c r="C5" s="64">
        <v>1556740000</v>
      </c>
      <c r="D5" s="64">
        <v>10291369000</v>
      </c>
      <c r="E5" s="64">
        <v>2410240000</v>
      </c>
      <c r="F5" s="64">
        <v>1414490000</v>
      </c>
      <c r="G5" s="54">
        <v>15672839000</v>
      </c>
      <c r="M5" s="15"/>
      <c r="N5" s="15"/>
      <c r="O5" s="50"/>
    </row>
    <row r="6" spans="1:15" x14ac:dyDescent="0.35">
      <c r="B6" s="18" t="s">
        <v>55</v>
      </c>
      <c r="C6" s="64">
        <v>1397750000</v>
      </c>
      <c r="D6" s="64">
        <v>695127000</v>
      </c>
      <c r="E6" s="64">
        <v>713773000</v>
      </c>
      <c r="F6" s="64">
        <v>143370000</v>
      </c>
      <c r="G6" s="54">
        <v>2950020000</v>
      </c>
      <c r="M6" s="15"/>
      <c r="N6" s="15"/>
      <c r="O6" s="50"/>
    </row>
    <row r="7" spans="1:15" x14ac:dyDescent="0.35">
      <c r="B7" s="18" t="s">
        <v>56</v>
      </c>
      <c r="C7" s="64">
        <v>112800000</v>
      </c>
      <c r="D7" s="64">
        <v>867286000</v>
      </c>
      <c r="E7" s="64">
        <v>320580000</v>
      </c>
      <c r="F7" s="64">
        <v>77890000</v>
      </c>
      <c r="G7" s="54">
        <v>1378556000</v>
      </c>
      <c r="M7" s="15"/>
      <c r="N7" s="15"/>
      <c r="O7" s="50"/>
    </row>
    <row r="8" spans="1:15" x14ac:dyDescent="0.35">
      <c r="B8" s="18" t="s">
        <v>57</v>
      </c>
      <c r="C8" s="64">
        <v>43000000</v>
      </c>
      <c r="D8" s="64">
        <v>365057000</v>
      </c>
      <c r="E8" s="64">
        <v>73350000</v>
      </c>
      <c r="F8" s="64">
        <v>3000000</v>
      </c>
      <c r="G8" s="54">
        <v>484407000</v>
      </c>
      <c r="M8" s="15"/>
      <c r="N8" s="15"/>
      <c r="O8" s="50"/>
    </row>
    <row r="9" spans="1:15" x14ac:dyDescent="0.35">
      <c r="B9" s="18" t="s">
        <v>5</v>
      </c>
      <c r="C9" s="64">
        <v>17613632509</v>
      </c>
      <c r="D9" s="64">
        <v>45410967773</v>
      </c>
      <c r="E9" s="64">
        <v>24876863000</v>
      </c>
      <c r="F9" s="64">
        <v>11070130000</v>
      </c>
      <c r="G9" s="54">
        <v>98971593282</v>
      </c>
      <c r="M9" s="15"/>
      <c r="N9" s="15"/>
      <c r="O9" s="50"/>
    </row>
    <row r="10" spans="1:15" x14ac:dyDescent="0.35">
      <c r="B10" s="18" t="s">
        <v>58</v>
      </c>
      <c r="C10" s="64">
        <v>176098603</v>
      </c>
      <c r="D10" s="64">
        <v>566600000</v>
      </c>
      <c r="E10" s="64">
        <v>534800000</v>
      </c>
      <c r="F10" s="64">
        <v>160830000</v>
      </c>
      <c r="G10" s="54">
        <v>1438328603</v>
      </c>
      <c r="M10" s="15"/>
      <c r="N10" s="15"/>
      <c r="O10" s="50"/>
    </row>
    <row r="11" spans="1:15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4">
        <v>0</v>
      </c>
      <c r="M11" s="15"/>
      <c r="N11" s="15"/>
      <c r="O11" s="50"/>
    </row>
    <row r="12" spans="1:15" x14ac:dyDescent="0.35">
      <c r="B12" s="19"/>
      <c r="C12" s="20">
        <v>71075000000</v>
      </c>
      <c r="D12" s="20">
        <v>112440000000</v>
      </c>
      <c r="E12" s="20">
        <v>50860000000</v>
      </c>
      <c r="F12" s="20">
        <v>13905000000</v>
      </c>
      <c r="G12" s="54">
        <v>248280000000</v>
      </c>
      <c r="H12" s="26"/>
      <c r="M12" s="15"/>
      <c r="N12" s="15"/>
    </row>
    <row r="13" spans="1:15" x14ac:dyDescent="0.35">
      <c r="C13" s="30"/>
      <c r="D13" s="30"/>
      <c r="E13" s="30"/>
      <c r="F13" s="30"/>
      <c r="M13" s="15"/>
      <c r="N13" s="15"/>
    </row>
    <row r="17" spans="2:12" x14ac:dyDescent="0.35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2:12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2:12" x14ac:dyDescent="0.3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2:12" x14ac:dyDescent="0.35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2:12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2:12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2:12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2:12" x14ac:dyDescent="0.35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2:12" x14ac:dyDescent="0.3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2:12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2:12" x14ac:dyDescent="0.35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topLeftCell="B1" workbookViewId="0">
      <selection activeCell="C4" sqref="C4:G13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3" width="13.26953125" style="15" customWidth="1"/>
    <col min="4" max="4" width="13.26953125" style="15" bestFit="1" customWidth="1"/>
    <col min="5" max="6" width="13.26953125" style="15" customWidth="1"/>
    <col min="7" max="16384" width="8.7265625" style="15"/>
  </cols>
  <sheetData>
    <row r="1" spans="1:7" ht="14" x14ac:dyDescent="0.3">
      <c r="A1" s="39" t="str">
        <f>'Fixed rate bond (Values)'!A1</f>
        <v>29 September 2025</v>
      </c>
    </row>
    <row r="3" spans="1:7" ht="13" x14ac:dyDescent="0.3">
      <c r="B3" s="18" t="s">
        <v>40</v>
      </c>
      <c r="C3" s="22" t="s">
        <v>75</v>
      </c>
      <c r="D3" s="71" t="s">
        <v>79</v>
      </c>
      <c r="E3" s="71" t="s">
        <v>91</v>
      </c>
      <c r="F3" s="71" t="s">
        <v>92</v>
      </c>
      <c r="G3" s="71" t="s">
        <v>70</v>
      </c>
    </row>
    <row r="4" spans="1:7" ht="13" x14ac:dyDescent="0.3">
      <c r="B4" s="18" t="s">
        <v>53</v>
      </c>
      <c r="C4" s="67">
        <v>3.0223568202602884E-3</v>
      </c>
      <c r="D4" s="70">
        <v>5.9433475631447885E-3</v>
      </c>
      <c r="E4" s="70">
        <v>3.3883208808493906E-3</v>
      </c>
      <c r="F4" s="70">
        <v>2.537935994246674E-3</v>
      </c>
      <c r="G4" s="69">
        <v>4.3930401603028838E-3</v>
      </c>
    </row>
    <row r="5" spans="1:7" ht="13" x14ac:dyDescent="0.3">
      <c r="B5" s="18" t="s">
        <v>71</v>
      </c>
      <c r="C5" s="67">
        <v>0.70292177104467113</v>
      </c>
      <c r="D5" s="70">
        <v>0.47647921760049805</v>
      </c>
      <c r="E5" s="70">
        <v>0.42780306724341327</v>
      </c>
      <c r="F5" s="70">
        <v>7.1916576770945706E-2</v>
      </c>
      <c r="G5" s="69">
        <v>0.5086738847430321</v>
      </c>
    </row>
    <row r="6" spans="1:7" ht="13" x14ac:dyDescent="0.3">
      <c r="B6" s="18" t="s">
        <v>54</v>
      </c>
      <c r="C6" s="67">
        <v>2.1902778754836441E-2</v>
      </c>
      <c r="D6" s="70">
        <v>9.1527650302383495E-2</v>
      </c>
      <c r="E6" s="70">
        <v>4.7389697208022025E-2</v>
      </c>
      <c r="F6" s="70">
        <v>0.10172527867673499</v>
      </c>
      <c r="G6" s="69">
        <v>6.3125660544546477E-2</v>
      </c>
    </row>
    <row r="7" spans="1:7" ht="13" x14ac:dyDescent="0.3">
      <c r="B7" s="18" t="s">
        <v>55</v>
      </c>
      <c r="C7" s="67">
        <v>1.966584593739008E-2</v>
      </c>
      <c r="D7" s="70">
        <v>6.1822038420490926E-3</v>
      </c>
      <c r="E7" s="70">
        <v>1.4034073928430988E-2</v>
      </c>
      <c r="F7" s="70">
        <v>1.0310679611650485E-2</v>
      </c>
      <c r="G7" s="69">
        <v>1.1881826969550507E-2</v>
      </c>
    </row>
    <row r="8" spans="1:7" ht="13" x14ac:dyDescent="0.3">
      <c r="B8" s="18" t="s">
        <v>56</v>
      </c>
      <c r="C8" s="67">
        <v>1.5870559268378473E-3</v>
      </c>
      <c r="D8" s="70">
        <v>7.7133226609747418E-3</v>
      </c>
      <c r="E8" s="70">
        <v>6.303185214313803E-3</v>
      </c>
      <c r="F8" s="70">
        <v>5.6015821646889612E-3</v>
      </c>
      <c r="G8" s="69">
        <v>5.5524246818108589E-3</v>
      </c>
    </row>
    <row r="9" spans="1:7" ht="13" x14ac:dyDescent="0.3">
      <c r="B9" s="18" t="s">
        <v>57</v>
      </c>
      <c r="C9" s="67">
        <v>6.04994723883222E-4</v>
      </c>
      <c r="D9" s="70">
        <v>3.2466826752045536E-3</v>
      </c>
      <c r="E9" s="70">
        <v>1.4421942587495085E-3</v>
      </c>
      <c r="F9" s="70">
        <v>2.1574973031283711E-4</v>
      </c>
      <c r="G9" s="69">
        <v>1.9510512324794587E-3</v>
      </c>
    </row>
    <row r="10" spans="1:7" ht="13" x14ac:dyDescent="0.3">
      <c r="B10" s="18" t="s">
        <v>5</v>
      </c>
      <c r="C10" s="67">
        <v>0.2478175520084418</v>
      </c>
      <c r="D10" s="70">
        <v>0.40386844337424405</v>
      </c>
      <c r="E10" s="70">
        <v>0.48912432166732206</v>
      </c>
      <c r="F10" s="70">
        <v>0.79612585400934921</v>
      </c>
      <c r="G10" s="69">
        <v>0.39862894023682938</v>
      </c>
    </row>
    <row r="11" spans="1:7" ht="13" x14ac:dyDescent="0.3">
      <c r="B11" s="18" t="s">
        <v>58</v>
      </c>
      <c r="C11" s="67">
        <v>2.477644783679212E-3</v>
      </c>
      <c r="D11" s="70">
        <v>5.0391319815012454E-3</v>
      </c>
      <c r="E11" s="70">
        <v>1.0515139598898939E-2</v>
      </c>
      <c r="F11" s="70">
        <v>1.1566343042071197E-2</v>
      </c>
      <c r="G11" s="69">
        <v>5.7931714314483646E-3</v>
      </c>
    </row>
    <row r="12" spans="1:7" ht="13" x14ac:dyDescent="0.3">
      <c r="B12" s="18" t="s">
        <v>59</v>
      </c>
      <c r="C12" s="67">
        <v>0</v>
      </c>
      <c r="D12" s="70">
        <v>0</v>
      </c>
      <c r="E12" s="70">
        <v>0</v>
      </c>
      <c r="F12" s="70">
        <v>0</v>
      </c>
      <c r="G12" s="69">
        <v>0</v>
      </c>
    </row>
    <row r="13" spans="1:7" ht="13" x14ac:dyDescent="0.3">
      <c r="B13" s="23"/>
      <c r="C13" s="21">
        <v>1</v>
      </c>
      <c r="D13" s="21">
        <v>1</v>
      </c>
      <c r="E13" s="21">
        <v>1</v>
      </c>
      <c r="F13" s="21">
        <v>1</v>
      </c>
      <c r="G13" s="21"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C3" sqref="C3:G12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29 September 2025</v>
      </c>
    </row>
    <row r="2" spans="1:7" x14ac:dyDescent="0.35">
      <c r="B2" s="18" t="s">
        <v>40</v>
      </c>
      <c r="C2" s="18" t="s">
        <v>84</v>
      </c>
      <c r="D2" s="53" t="s">
        <v>85</v>
      </c>
      <c r="E2" s="53" t="s">
        <v>86</v>
      </c>
      <c r="F2" s="53" t="s">
        <v>87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v>0</v>
      </c>
    </row>
    <row r="4" spans="1:7" x14ac:dyDescent="0.35">
      <c r="B4" s="18" t="s">
        <v>71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v>15601785000</v>
      </c>
    </row>
    <row r="5" spans="1:7" x14ac:dyDescent="0.35">
      <c r="B5" s="18" t="s">
        <v>54</v>
      </c>
      <c r="C5" s="64">
        <v>28500000</v>
      </c>
      <c r="D5" s="64">
        <v>40345000</v>
      </c>
      <c r="E5" s="64">
        <v>30700000</v>
      </c>
      <c r="F5" s="64">
        <v>0</v>
      </c>
      <c r="G5" s="53">
        <v>99545000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v>0</v>
      </c>
    </row>
    <row r="7" spans="1:7" x14ac:dyDescent="0.35">
      <c r="B7" s="18" t="s">
        <v>56</v>
      </c>
      <c r="C7" s="64">
        <v>0</v>
      </c>
      <c r="D7" s="64">
        <v>9597459</v>
      </c>
      <c r="E7" s="64">
        <v>9592090</v>
      </c>
      <c r="F7" s="64">
        <v>0</v>
      </c>
      <c r="G7" s="53">
        <v>19189549</v>
      </c>
    </row>
    <row r="8" spans="1:7" x14ac:dyDescent="0.35">
      <c r="B8" s="18" t="s">
        <v>57</v>
      </c>
      <c r="C8" s="64">
        <v>35000000</v>
      </c>
      <c r="D8" s="64">
        <v>0</v>
      </c>
      <c r="E8" s="64">
        <v>97000000</v>
      </c>
      <c r="F8" s="64">
        <v>111000000</v>
      </c>
      <c r="G8" s="53">
        <v>243000000</v>
      </c>
    </row>
    <row r="9" spans="1:7" x14ac:dyDescent="0.35">
      <c r="B9" s="18" t="s">
        <v>5</v>
      </c>
      <c r="C9" s="64">
        <v>1562715000</v>
      </c>
      <c r="D9" s="64">
        <v>907016618</v>
      </c>
      <c r="E9" s="64">
        <v>1096617910</v>
      </c>
      <c r="F9" s="64">
        <v>810000000</v>
      </c>
      <c r="G9" s="53">
        <v>4376349528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v>0</v>
      </c>
    </row>
    <row r="12" spans="1:7" x14ac:dyDescent="0.35">
      <c r="B12" s="19"/>
      <c r="C12" s="20">
        <v>7490000000</v>
      </c>
      <c r="D12" s="20">
        <v>8866000000</v>
      </c>
      <c r="E12" s="20">
        <v>2479000000</v>
      </c>
      <c r="F12" s="20">
        <v>1551000000</v>
      </c>
      <c r="G12" s="20"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C3" sqref="C3:G12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29 September 2025</v>
      </c>
    </row>
    <row r="2" spans="1:7" x14ac:dyDescent="0.35">
      <c r="B2" s="18" t="s">
        <v>40</v>
      </c>
      <c r="C2" s="22" t="s">
        <v>84</v>
      </c>
      <c r="D2" s="43" t="s">
        <v>85</v>
      </c>
      <c r="E2" s="43" t="s">
        <v>86</v>
      </c>
      <c r="F2" s="43" t="s">
        <v>87</v>
      </c>
      <c r="G2" s="22" t="s">
        <v>70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71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4.5505301150462439E-3</v>
      </c>
      <c r="E5" s="67">
        <v>1.2384025816861637E-2</v>
      </c>
      <c r="F5" s="67">
        <v>0</v>
      </c>
      <c r="G5" s="69">
        <v>4.88300794663004E-3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1.0825015790660952E-3</v>
      </c>
      <c r="E7" s="67">
        <v>3.8693384429205327E-3</v>
      </c>
      <c r="F7" s="67">
        <v>0</v>
      </c>
      <c r="G7" s="69">
        <v>9.4131016383792803E-4</v>
      </c>
    </row>
    <row r="8" spans="1:7" x14ac:dyDescent="0.35">
      <c r="B8" s="18" t="s">
        <v>57</v>
      </c>
      <c r="C8" s="67">
        <v>4.6728971962616819E-3</v>
      </c>
      <c r="D8" s="67">
        <v>0</v>
      </c>
      <c r="E8" s="67">
        <v>3.9128680919725697E-2</v>
      </c>
      <c r="F8" s="67">
        <v>7.1566731141199227E-2</v>
      </c>
      <c r="G8" s="69">
        <v>1.1919945060335524E-2</v>
      </c>
    </row>
    <row r="9" spans="1:7" x14ac:dyDescent="0.35">
      <c r="B9" s="18" t="s">
        <v>5</v>
      </c>
      <c r="C9" s="67">
        <v>0.20864018691588784</v>
      </c>
      <c r="D9" s="67">
        <v>0.10230279923302504</v>
      </c>
      <c r="E9" s="67">
        <v>0.44236301331181926</v>
      </c>
      <c r="F9" s="67">
        <v>0.52224371373307543</v>
      </c>
      <c r="G9" s="69">
        <v>0.21467426312175023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v>1</v>
      </c>
      <c r="D12" s="21">
        <v>1</v>
      </c>
      <c r="E12" s="21">
        <v>1</v>
      </c>
      <c r="F12" s="21">
        <v>1</v>
      </c>
      <c r="G12" s="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Malerato Phokane</cp:lastModifiedBy>
  <dcterms:created xsi:type="dcterms:W3CDTF">2016-03-09T09:54:02Z</dcterms:created>
  <dcterms:modified xsi:type="dcterms:W3CDTF">2025-09-29T11:10:55Z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