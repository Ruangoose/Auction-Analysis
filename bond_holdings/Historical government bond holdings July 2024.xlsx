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July\"/>
    </mc:Choice>
  </mc:AlternateContent>
  <xr:revisionPtr revIDLastSave="0" documentId="13_ncr:1_{BE288FE3-F6CB-4B78-A0B3-B82C39F6E6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9" i="8"/>
  <c r="G10" i="8"/>
  <c r="G11" i="8"/>
  <c r="G12" i="8"/>
  <c r="N6" i="4"/>
  <c r="D12" i="9"/>
  <c r="E12" i="9"/>
  <c r="F12" i="9"/>
  <c r="G12" i="9"/>
  <c r="C12" i="9"/>
  <c r="D12" i="8"/>
  <c r="E12" i="8"/>
  <c r="F12" i="8"/>
  <c r="C12" i="8"/>
  <c r="D13" i="7"/>
  <c r="E13" i="7"/>
  <c r="C13" i="7"/>
  <c r="E4" i="6"/>
  <c r="E5" i="6"/>
  <c r="E6" i="6"/>
  <c r="E7" i="6"/>
  <c r="E8" i="6"/>
  <c r="E3" i="6"/>
  <c r="E9" i="6"/>
  <c r="E10" i="6"/>
  <c r="E11" i="6"/>
  <c r="E12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7" i="4"/>
  <c r="N8" i="4"/>
  <c r="N9" i="4"/>
  <c r="N10" i="4"/>
  <c r="N11" i="4"/>
  <c r="N12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O12" i="2"/>
  <c r="A1" i="4"/>
  <c r="A1" i="5"/>
  <c r="A1" i="6"/>
  <c r="A1" i="7"/>
  <c r="A1" i="8"/>
  <c r="A1" i="9"/>
  <c r="A1" i="3"/>
</calcChain>
</file>

<file path=xl/sharedStrings.xml><?xml version="1.0" encoding="utf-8"?>
<sst xmlns="http://schemas.openxmlformats.org/spreadsheetml/2006/main" count="333" uniqueCount="91">
  <si>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</si>
  <si>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</si>
  <si>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</si>
  <si>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</si>
  <si>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</si>
  <si>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</si>
  <si>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</si>
  <si>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</si>
  <si>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</si>
  <si>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</si>
  <si>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</si>
  <si>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</si>
  <si>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</si>
  <si>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</si>
  <si>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</si>
  <si>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</si>
  <si>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</si>
  <si>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</si>
  <si>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</si>
  <si>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</si>
  <si>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</si>
  <si>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</si>
  <si>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</si>
  <si>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</si>
  <si>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</si>
  <si>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</si>
  <si>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</si>
  <si>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</si>
  <si>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</si>
  <si>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</si>
  <si>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</si>
  <si>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</si>
  <si>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</si>
  <si>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</si>
  <si>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</si>
  <si>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</si>
  <si>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</si>
  <si>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</si>
  <si>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</si>
  <si>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</si>
  <si>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</si>
  <si>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</si>
  <si>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</si>
  <si>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</si>
  <si>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</si>
  <si>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</si>
  <si>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</si>
  <si>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</si>
  <si>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</si>
  <si>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</si>
  <si>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</si>
  <si>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</si>
  <si>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</si>
  <si>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</si>
  <si>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</si>
  <si>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</si>
  <si>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</si>
  <si>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</si>
  <si>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</si>
  <si>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</si>
  <si>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</si>
  <si>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</si>
  <si>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</si>
  <si>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</si>
  <si>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</si>
  <si>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</si>
  <si>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</si>
  <si>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</si>
  <si>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</si>
  <si>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</si>
  <si>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</si>
  <si>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</si>
  <si>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</si>
  <si>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</si>
  <si>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</si>
  <si>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</si>
  <si>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</si>
  <si>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</si>
  <si>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</si>
  <si>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</si>
  <si>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</si>
  <si>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</si>
  <si>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</si>
  <si>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</si>
  <si>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</si>
  <si>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</si>
  <si>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</si>
  <si>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</si>
  <si>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</si>
  <si>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</si>
  <si>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26 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</si>
</sst>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9" fontId="3" fillId="0" borderId="10" xfId="67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workbookViewId="0">
      <pane ySplit="1" topLeftCell="A155" activePane="bottomLeft" state="frozen"/>
      <selection pane="bottomLeft" activeCell="D168" sqref="D168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2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zoomScale="62" workbookViewId="0">
      <selection activeCell="A2" sqref="A2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90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120925115378.89</v>
      </c>
      <c r="D3" s="51">
        <v>82202284264</v>
      </c>
      <c r="E3" s="51">
        <v>63931933602</v>
      </c>
      <c r="F3" s="51">
        <v>79973217334</v>
      </c>
      <c r="G3" s="51">
        <v>118982881069</v>
      </c>
      <c r="H3" s="51">
        <v>39348183037.32</v>
      </c>
      <c r="I3" s="51">
        <v>95460233142</v>
      </c>
      <c r="J3" s="51">
        <v>101060566338</v>
      </c>
      <c r="K3" s="51">
        <v>45598515675</v>
      </c>
      <c r="L3" s="51">
        <v>76830595200</v>
      </c>
      <c r="M3" s="51">
        <v>89267197784</v>
      </c>
      <c r="N3" s="50">
        <v>7049780649</v>
      </c>
      <c r="O3" s="60">
        <f>SUM(C3:N3)</f>
        <v>920630503473.20996</v>
      </c>
      <c r="P3" s="55"/>
    </row>
    <row r="4" spans="1:16" x14ac:dyDescent="0.35">
      <c r="B4" s="18" t="s">
        <v>72</v>
      </c>
      <c r="C4" s="51">
        <v>96682681832.649994</v>
      </c>
      <c r="D4" s="51">
        <v>90278986966.529999</v>
      </c>
      <c r="E4" s="51">
        <v>51682925607</v>
      </c>
      <c r="F4" s="51">
        <v>78462390149.199997</v>
      </c>
      <c r="G4" s="51">
        <v>44044539007.800003</v>
      </c>
      <c r="H4" s="51">
        <v>11178068774</v>
      </c>
      <c r="I4" s="51">
        <v>33245537834.689999</v>
      </c>
      <c r="J4" s="51">
        <v>16695802815</v>
      </c>
      <c r="K4" s="51">
        <v>13554505602</v>
      </c>
      <c r="L4" s="51">
        <v>22726449131.099998</v>
      </c>
      <c r="M4" s="51">
        <v>134578191575.58</v>
      </c>
      <c r="N4" s="50">
        <v>5335689649</v>
      </c>
      <c r="O4" s="60">
        <f t="shared" ref="O4:O11" si="0">SUM(C4:N4)</f>
        <v>598465768944.54993</v>
      </c>
    </row>
    <row r="5" spans="1:16" x14ac:dyDescent="0.35">
      <c r="B5" s="18" t="s">
        <v>54</v>
      </c>
      <c r="C5" s="51">
        <v>16252544578.9</v>
      </c>
      <c r="D5" s="51">
        <v>16414417408</v>
      </c>
      <c r="E5" s="51">
        <v>9982283740</v>
      </c>
      <c r="F5" s="51">
        <v>11024724679</v>
      </c>
      <c r="G5" s="51">
        <v>16374881258</v>
      </c>
      <c r="H5" s="51">
        <v>7592017040</v>
      </c>
      <c r="I5" s="51">
        <v>22320704927</v>
      </c>
      <c r="J5" s="51">
        <v>28691037252</v>
      </c>
      <c r="K5" s="51">
        <v>5542793433</v>
      </c>
      <c r="L5" s="51">
        <v>28968314716</v>
      </c>
      <c r="M5" s="51">
        <v>34772038228</v>
      </c>
      <c r="N5" s="50">
        <v>2583099340</v>
      </c>
      <c r="O5" s="60">
        <f t="shared" si="0"/>
        <v>200518856599.89999</v>
      </c>
    </row>
    <row r="6" spans="1:16" x14ac:dyDescent="0.35">
      <c r="B6" s="18" t="s">
        <v>55</v>
      </c>
      <c r="C6" s="51">
        <v>2641462613</v>
      </c>
      <c r="D6" s="51">
        <v>4276665057</v>
      </c>
      <c r="E6" s="51">
        <v>2728392859</v>
      </c>
      <c r="F6" s="51">
        <v>3796973128</v>
      </c>
      <c r="G6" s="51">
        <v>3042455469</v>
      </c>
      <c r="H6" s="51">
        <v>438352955</v>
      </c>
      <c r="I6" s="51">
        <v>3270882709</v>
      </c>
      <c r="J6" s="51">
        <v>1761664493</v>
      </c>
      <c r="K6" s="51">
        <v>564258576</v>
      </c>
      <c r="L6" s="51">
        <v>1779714797</v>
      </c>
      <c r="M6" s="51">
        <v>4930127426</v>
      </c>
      <c r="N6" s="50">
        <v>143415000</v>
      </c>
      <c r="O6" s="60">
        <f t="shared" si="0"/>
        <v>29374365082</v>
      </c>
    </row>
    <row r="7" spans="1:16" x14ac:dyDescent="0.35">
      <c r="B7" s="18" t="s">
        <v>56</v>
      </c>
      <c r="C7" s="51">
        <v>3922755171.73</v>
      </c>
      <c r="D7" s="51">
        <v>5546665854</v>
      </c>
      <c r="E7" s="51">
        <v>4534687291</v>
      </c>
      <c r="F7" s="51">
        <v>10137840233</v>
      </c>
      <c r="G7" s="51">
        <v>9272004039</v>
      </c>
      <c r="H7" s="51">
        <v>4665160628</v>
      </c>
      <c r="I7" s="51">
        <v>8808544039</v>
      </c>
      <c r="J7" s="51">
        <v>7941433972</v>
      </c>
      <c r="K7" s="51">
        <v>2086596757</v>
      </c>
      <c r="L7" s="51">
        <v>8353138275</v>
      </c>
      <c r="M7" s="51">
        <v>10080083158</v>
      </c>
      <c r="N7" s="50">
        <v>853847734</v>
      </c>
      <c r="O7" s="60">
        <f t="shared" si="0"/>
        <v>76202757151.729996</v>
      </c>
    </row>
    <row r="8" spans="1:16" x14ac:dyDescent="0.35">
      <c r="B8" s="18" t="s">
        <v>57</v>
      </c>
      <c r="C8" s="51">
        <v>23634851576.510002</v>
      </c>
      <c r="D8" s="51">
        <v>51709337653</v>
      </c>
      <c r="E8" s="51">
        <v>19703611443</v>
      </c>
      <c r="F8" s="51">
        <v>49782661599</v>
      </c>
      <c r="G8" s="51">
        <v>49222559675</v>
      </c>
      <c r="H8" s="51">
        <v>15179131317</v>
      </c>
      <c r="I8" s="51">
        <v>57880050142</v>
      </c>
      <c r="J8" s="51">
        <v>40354035527</v>
      </c>
      <c r="K8" s="51">
        <v>8787989507</v>
      </c>
      <c r="L8" s="51">
        <v>52124584848</v>
      </c>
      <c r="M8" s="51">
        <v>68372583796</v>
      </c>
      <c r="N8" s="50">
        <v>4403909131</v>
      </c>
      <c r="O8" s="60">
        <f t="shared" si="0"/>
        <v>441155306214.51001</v>
      </c>
    </row>
    <row r="9" spans="1:16" x14ac:dyDescent="0.35">
      <c r="B9" s="18" t="s">
        <v>5</v>
      </c>
      <c r="C9" s="51">
        <v>83291567096.759995</v>
      </c>
      <c r="D9" s="51">
        <v>96991718746.470001</v>
      </c>
      <c r="E9" s="51">
        <v>53221998280</v>
      </c>
      <c r="F9" s="51">
        <v>88711675103</v>
      </c>
      <c r="G9" s="51">
        <v>76338860440.199997</v>
      </c>
      <c r="H9" s="51">
        <v>21571395565.68</v>
      </c>
      <c r="I9" s="51">
        <v>78692190016</v>
      </c>
      <c r="J9" s="51">
        <v>56236403656</v>
      </c>
      <c r="K9" s="51">
        <v>15831047120</v>
      </c>
      <c r="L9" s="51">
        <v>68150224342</v>
      </c>
      <c r="M9" s="51">
        <v>74843292213.419998</v>
      </c>
      <c r="N9" s="50">
        <v>28527972642</v>
      </c>
      <c r="O9" s="60">
        <f t="shared" si="0"/>
        <v>742408345221.53003</v>
      </c>
    </row>
    <row r="10" spans="1:16" x14ac:dyDescent="0.35">
      <c r="B10" s="18" t="s">
        <v>58</v>
      </c>
      <c r="C10" s="51">
        <v>2222457908.4499998</v>
      </c>
      <c r="D10" s="51">
        <v>5902516520</v>
      </c>
      <c r="E10" s="51">
        <v>1953415750</v>
      </c>
      <c r="F10" s="51">
        <v>5157043936.8000002</v>
      </c>
      <c r="G10" s="51">
        <v>8616981336</v>
      </c>
      <c r="H10" s="51">
        <v>4286242828</v>
      </c>
      <c r="I10" s="51">
        <v>3478289623.3099999</v>
      </c>
      <c r="J10" s="51">
        <v>4572974899</v>
      </c>
      <c r="K10" s="51">
        <v>1416149826</v>
      </c>
      <c r="L10" s="51">
        <v>3154515631.9000001</v>
      </c>
      <c r="M10" s="51">
        <v>1722535681</v>
      </c>
      <c r="N10" s="50">
        <v>954957563</v>
      </c>
      <c r="O10" s="60">
        <f t="shared" si="0"/>
        <v>43438081503.459999</v>
      </c>
    </row>
    <row r="11" spans="1:16" x14ac:dyDescent="0.35">
      <c r="A11" s="17"/>
      <c r="B11" s="19" t="s">
        <v>59</v>
      </c>
      <c r="C11" s="52">
        <v>506320082</v>
      </c>
      <c r="D11" s="52">
        <v>146067562</v>
      </c>
      <c r="E11" s="52">
        <v>6912672</v>
      </c>
      <c r="F11" s="52">
        <v>158964789</v>
      </c>
      <c r="G11" s="52">
        <v>951470317</v>
      </c>
      <c r="H11" s="52">
        <v>4000000</v>
      </c>
      <c r="I11" s="52">
        <v>563534596</v>
      </c>
      <c r="J11" s="52">
        <v>14482150</v>
      </c>
      <c r="K11" s="52">
        <v>0</v>
      </c>
      <c r="L11" s="52">
        <v>6974000</v>
      </c>
      <c r="M11" s="52">
        <v>607520655</v>
      </c>
      <c r="N11" s="50">
        <v>0</v>
      </c>
      <c r="O11" s="60">
        <f t="shared" si="0"/>
        <v>2966246823</v>
      </c>
    </row>
    <row r="12" spans="1:16" x14ac:dyDescent="0.35">
      <c r="B12" s="19"/>
      <c r="C12" s="20">
        <f>SUM(C3:C11)</f>
        <v>350079756238.89001</v>
      </c>
      <c r="D12" s="20">
        <f t="shared" ref="D12:O12" si="1">SUM(D3:D11)</f>
        <v>353468660031</v>
      </c>
      <c r="E12" s="20">
        <f t="shared" si="1"/>
        <v>207746161244</v>
      </c>
      <c r="F12" s="20">
        <f t="shared" si="1"/>
        <v>327205490951</v>
      </c>
      <c r="G12" s="20">
        <f t="shared" si="1"/>
        <v>326846632611</v>
      </c>
      <c r="H12" s="20">
        <f t="shared" si="1"/>
        <v>104262552145</v>
      </c>
      <c r="I12" s="20">
        <f t="shared" si="1"/>
        <v>303719967029</v>
      </c>
      <c r="J12" s="20">
        <f t="shared" si="1"/>
        <v>257328401102</v>
      </c>
      <c r="K12" s="20">
        <f t="shared" si="1"/>
        <v>93381856496</v>
      </c>
      <c r="L12" s="20">
        <f t="shared" si="1"/>
        <v>262094510941</v>
      </c>
      <c r="M12" s="20">
        <f t="shared" si="1"/>
        <v>419173570517</v>
      </c>
      <c r="N12" s="20">
        <f t="shared" si="1"/>
        <v>49852671708</v>
      </c>
      <c r="O12" s="20">
        <f t="shared" si="1"/>
        <v>3055160231013.8896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zoomScale="74" workbookViewId="0">
      <selection activeCell="C3" sqref="C3:O11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26 July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0.34542161671402738</v>
      </c>
      <c r="D3" s="58">
        <v>0.23255890425134346</v>
      </c>
      <c r="E3" s="58">
        <v>0.30774062547856801</v>
      </c>
      <c r="F3" s="58">
        <v>0.24441282174563578</v>
      </c>
      <c r="G3" s="58">
        <v>0.3640327578672311</v>
      </c>
      <c r="H3" s="58">
        <v>0.37739516468576084</v>
      </c>
      <c r="I3" s="58">
        <v>0.31430344891643297</v>
      </c>
      <c r="J3" s="58">
        <v>0.39272993538688933</v>
      </c>
      <c r="K3" s="58">
        <v>0.48830166143626846</v>
      </c>
      <c r="L3" s="58">
        <v>0.29314080224020911</v>
      </c>
      <c r="M3" s="58">
        <v>0.21295998617923284</v>
      </c>
      <c r="N3" s="58">
        <v>0.14141229361371824</v>
      </c>
      <c r="O3" s="58">
        <v>0.30133624224602068</v>
      </c>
    </row>
    <row r="4" spans="1:15" x14ac:dyDescent="0.35">
      <c r="B4" s="47" t="s">
        <v>72</v>
      </c>
      <c r="C4" s="58">
        <v>0.27617330082541236</v>
      </c>
      <c r="D4" s="58">
        <v>0.25540874531454166</v>
      </c>
      <c r="E4" s="58">
        <v>0.24877920871085493</v>
      </c>
      <c r="F4" s="58">
        <v>0.23979545673623789</v>
      </c>
      <c r="G4" s="58">
        <v>0.13475598220471827</v>
      </c>
      <c r="H4" s="58">
        <v>0.10721077265070625</v>
      </c>
      <c r="I4" s="58">
        <v>0.10946115317968419</v>
      </c>
      <c r="J4" s="58">
        <v>6.4881306313258863E-2</v>
      </c>
      <c r="K4" s="58">
        <v>0.14515138283399415</v>
      </c>
      <c r="L4" s="58">
        <v>8.6710893141199522E-2</v>
      </c>
      <c r="M4" s="58">
        <v>0.32105600410253454</v>
      </c>
      <c r="N4" s="59">
        <v>0.1070291614510154</v>
      </c>
      <c r="O4" s="59">
        <v>0.19588686801737473</v>
      </c>
    </row>
    <row r="5" spans="1:15" x14ac:dyDescent="0.35">
      <c r="B5" s="47" t="s">
        <v>54</v>
      </c>
      <c r="C5" s="58">
        <v>4.6425262498781761E-2</v>
      </c>
      <c r="D5" s="58">
        <v>4.6438112523357569E-2</v>
      </c>
      <c r="E5" s="58">
        <v>4.8050388417409579E-2</v>
      </c>
      <c r="F5" s="58">
        <v>3.3693580896082778E-2</v>
      </c>
      <c r="G5" s="58">
        <v>5.0099586852677597E-2</v>
      </c>
      <c r="H5" s="58">
        <v>7.2816336103509446E-2</v>
      </c>
      <c r="I5" s="58">
        <v>7.3491068583149022E-2</v>
      </c>
      <c r="J5" s="58">
        <v>0.1114958050845986</v>
      </c>
      <c r="K5" s="58">
        <v>5.9356213733418602E-2</v>
      </c>
      <c r="L5" s="58">
        <v>0.11052621671470658</v>
      </c>
      <c r="M5" s="58">
        <v>8.2953794498810809E-2</v>
      </c>
      <c r="N5" s="59">
        <v>5.1814662113394472E-2</v>
      </c>
      <c r="O5" s="59">
        <v>6.5632844576978377E-2</v>
      </c>
    </row>
    <row r="6" spans="1:15" x14ac:dyDescent="0.35">
      <c r="B6" s="47" t="s">
        <v>55</v>
      </c>
      <c r="C6" s="58">
        <v>7.5453166483511235E-3</v>
      </c>
      <c r="D6" s="58">
        <v>1.2099135059455984E-2</v>
      </c>
      <c r="E6" s="58">
        <v>1.3133300960471056E-2</v>
      </c>
      <c r="F6" s="58">
        <v>1.1604246362016608E-2</v>
      </c>
      <c r="G6" s="58">
        <v>9.3085109817270494E-3</v>
      </c>
      <c r="H6" s="58">
        <v>4.2043182905246159E-3</v>
      </c>
      <c r="I6" s="58">
        <v>1.076940295034237E-2</v>
      </c>
      <c r="J6" s="58">
        <v>6.8459776902033845E-3</v>
      </c>
      <c r="K6" s="58">
        <v>6.0424861656522104E-3</v>
      </c>
      <c r="L6" s="58">
        <v>6.7903550921775352E-3</v>
      </c>
      <c r="M6" s="58">
        <v>1.1761541692428944E-2</v>
      </c>
      <c r="N6" s="59">
        <v>2.8767766116933264E-3</v>
      </c>
      <c r="O6" s="59">
        <v>9.6146725084372362E-3</v>
      </c>
    </row>
    <row r="7" spans="1:15" x14ac:dyDescent="0.35">
      <c r="B7" s="47" t="s">
        <v>56</v>
      </c>
      <c r="C7" s="58">
        <v>1.1205318507629333E-2</v>
      </c>
      <c r="D7" s="58">
        <v>1.5692100831551925E-2</v>
      </c>
      <c r="E7" s="58">
        <v>2.1828019655554372E-2</v>
      </c>
      <c r="F7" s="58">
        <v>3.0983099346942721E-2</v>
      </c>
      <c r="G7" s="58">
        <v>2.8368057412527098E-2</v>
      </c>
      <c r="H7" s="58">
        <v>4.4744354823696132E-2</v>
      </c>
      <c r="I7" s="58">
        <v>2.9002189500958744E-2</v>
      </c>
      <c r="J7" s="58">
        <v>3.0861086215089678E-2</v>
      </c>
      <c r="K7" s="58">
        <v>2.2344776975914794E-2</v>
      </c>
      <c r="L7" s="58">
        <v>3.1870710473903711E-2</v>
      </c>
      <c r="M7" s="58">
        <v>2.4047516033912714E-2</v>
      </c>
      <c r="N7" s="59">
        <v>1.7127421755873128E-2</v>
      </c>
      <c r="O7" s="59">
        <v>2.4942311168550804E-2</v>
      </c>
    </row>
    <row r="8" spans="1:15" x14ac:dyDescent="0.35">
      <c r="B8" s="47" t="s">
        <v>57</v>
      </c>
      <c r="C8" s="58">
        <v>6.7512762892756012E-2</v>
      </c>
      <c r="D8" s="58">
        <v>0.14629115251254518</v>
      </c>
      <c r="E8" s="58">
        <v>9.4844647549746572E-2</v>
      </c>
      <c r="F8" s="58">
        <v>0.15214494553349381</v>
      </c>
      <c r="G8" s="58">
        <v>0.15059833807002304</v>
      </c>
      <c r="H8" s="58">
        <v>0.14558564896713905</v>
      </c>
      <c r="I8" s="58">
        <v>0.1905704478641454</v>
      </c>
      <c r="J8" s="58">
        <v>0.15681920594145549</v>
      </c>
      <c r="K8" s="58">
        <v>9.4108104472911527E-2</v>
      </c>
      <c r="L8" s="58">
        <v>0.19887705645134149</v>
      </c>
      <c r="M8" s="58">
        <v>0.16311282152562881</v>
      </c>
      <c r="N8" s="59">
        <v>8.8338477760927944E-2</v>
      </c>
      <c r="O8" s="59">
        <v>0.14439678211839893</v>
      </c>
    </row>
    <row r="9" spans="1:15" x14ac:dyDescent="0.35">
      <c r="B9" s="47" t="s">
        <v>5</v>
      </c>
      <c r="C9" s="58">
        <v>0.23792168959327908</v>
      </c>
      <c r="D9" s="58">
        <v>0.27439976924110787</v>
      </c>
      <c r="E9" s="58">
        <v>0.25618763765021013</v>
      </c>
      <c r="F9" s="58">
        <v>0.27111915159236993</v>
      </c>
      <c r="G9" s="58">
        <v>0.23356171617975793</v>
      </c>
      <c r="H9" s="58">
        <v>0.20689495050610532</v>
      </c>
      <c r="I9" s="58">
        <v>0.25909455603386872</v>
      </c>
      <c r="J9" s="58">
        <v>0.21853943604813747</v>
      </c>
      <c r="K9" s="58">
        <v>0.1695302247570771</v>
      </c>
      <c r="L9" s="58">
        <v>0.26002156282220373</v>
      </c>
      <c r="M9" s="58">
        <v>0.17854964501008455</v>
      </c>
      <c r="N9" s="59">
        <v>0.57224561221303683</v>
      </c>
      <c r="O9" s="59">
        <v>0.24300144316003791</v>
      </c>
    </row>
    <row r="10" spans="1:15" x14ac:dyDescent="0.35">
      <c r="B10" s="47" t="s">
        <v>58</v>
      </c>
      <c r="C10" s="58">
        <v>6.348433089439832E-3</v>
      </c>
      <c r="D10" s="58">
        <v>1.669883977686264E-2</v>
      </c>
      <c r="E10" s="58">
        <v>9.4028969695651478E-3</v>
      </c>
      <c r="F10" s="58">
        <v>1.5760872232954925E-2</v>
      </c>
      <c r="G10" s="58">
        <v>2.6363989945876517E-2</v>
      </c>
      <c r="H10" s="58">
        <v>4.1110089287273895E-2</v>
      </c>
      <c r="I10" s="58">
        <v>1.1452291587328809E-2</v>
      </c>
      <c r="J10" s="58">
        <v>1.7770968456712874E-2</v>
      </c>
      <c r="K10" s="58">
        <v>1.5165149624763142E-2</v>
      </c>
      <c r="L10" s="58">
        <v>1.2035794342179535E-2</v>
      </c>
      <c r="M10" s="58">
        <v>4.1093613771389743E-3</v>
      </c>
      <c r="N10" s="59">
        <v>1.9155594480340665E-2</v>
      </c>
      <c r="O10" s="59">
        <v>1.4217938903009542E-2</v>
      </c>
    </row>
    <row r="11" spans="1:15" x14ac:dyDescent="0.35">
      <c r="B11" s="47" t="s">
        <v>59</v>
      </c>
      <c r="C11" s="58">
        <v>1.4462992303230855E-3</v>
      </c>
      <c r="D11" s="58">
        <v>4.1324048923372595E-4</v>
      </c>
      <c r="E11" s="58">
        <v>3.3274607620214919E-5</v>
      </c>
      <c r="F11" s="58">
        <v>4.8582555426554698E-4</v>
      </c>
      <c r="G11" s="58">
        <v>2.9110604854613955E-3</v>
      </c>
      <c r="H11" s="58">
        <v>3.8364685284483741E-5</v>
      </c>
      <c r="I11" s="58">
        <v>1.8554413840898127E-3</v>
      </c>
      <c r="J11" s="58">
        <v>5.6278863654305907E-5</v>
      </c>
      <c r="K11" s="58">
        <v>0</v>
      </c>
      <c r="L11" s="58">
        <v>2.660872207876919E-5</v>
      </c>
      <c r="M11" s="58">
        <v>1.4493295802278196E-3</v>
      </c>
      <c r="N11" s="59">
        <v>0</v>
      </c>
      <c r="O11" s="59">
        <v>9.7089730119183219E-4</v>
      </c>
    </row>
    <row r="12" spans="1:15" ht="15" thickBot="1" x14ac:dyDescent="0.4">
      <c r="A12" s="17"/>
      <c r="B12" s="48"/>
      <c r="C12" s="49">
        <f>SUM(C3:C11)</f>
        <v>1</v>
      </c>
      <c r="D12" s="49">
        <f t="shared" ref="D12:O12" si="0">SUM(D3:D11)</f>
        <v>1</v>
      </c>
      <c r="E12" s="49">
        <f t="shared" si="0"/>
        <v>1</v>
      </c>
      <c r="F12" s="49">
        <f t="shared" si="0"/>
        <v>1</v>
      </c>
      <c r="G12" s="49">
        <f t="shared" si="0"/>
        <v>1</v>
      </c>
      <c r="H12" s="49">
        <f t="shared" si="0"/>
        <v>1</v>
      </c>
      <c r="I12" s="49">
        <f t="shared" si="0"/>
        <v>1</v>
      </c>
      <c r="J12" s="49">
        <f t="shared" si="0"/>
        <v>0.99999999999999989</v>
      </c>
      <c r="K12" s="49">
        <f t="shared" si="0"/>
        <v>0.99999999999999989</v>
      </c>
      <c r="L12" s="49">
        <f t="shared" si="0"/>
        <v>0.99999999999999978</v>
      </c>
      <c r="M12" s="49">
        <f t="shared" si="0"/>
        <v>1</v>
      </c>
      <c r="N12" s="49">
        <f t="shared" si="0"/>
        <v>1</v>
      </c>
      <c r="O12" s="49">
        <f t="shared" si="0"/>
        <v>1.0000000000000002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C3" sqref="C3:M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26 July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1448269803</v>
      </c>
      <c r="D3" s="51">
        <v>102660432</v>
      </c>
      <c r="E3" s="51">
        <v>2048299000</v>
      </c>
      <c r="F3" s="51">
        <v>47300000</v>
      </c>
      <c r="G3" s="51">
        <v>12800902658</v>
      </c>
      <c r="H3" s="51">
        <v>204476358</v>
      </c>
      <c r="I3" s="51">
        <v>3614358518</v>
      </c>
      <c r="J3" s="51">
        <v>15000000</v>
      </c>
      <c r="K3" s="51">
        <v>4698092003</v>
      </c>
      <c r="L3" s="52">
        <v>1949894593</v>
      </c>
      <c r="M3" s="52">
        <v>5000000</v>
      </c>
      <c r="N3" s="20">
        <f>SUM(C3:M3)</f>
        <v>26934253365</v>
      </c>
    </row>
    <row r="4" spans="1:14" x14ac:dyDescent="0.35">
      <c r="B4" s="18" t="s">
        <v>72</v>
      </c>
      <c r="C4" s="51">
        <v>13258946252</v>
      </c>
      <c r="D4" s="51">
        <v>1512119363</v>
      </c>
      <c r="E4" s="51">
        <v>3888957039</v>
      </c>
      <c r="F4" s="51">
        <v>640252861</v>
      </c>
      <c r="G4" s="51">
        <v>1638718236</v>
      </c>
      <c r="H4" s="51">
        <v>5265865576.9700003</v>
      </c>
      <c r="I4" s="51">
        <v>6017228946.8899994</v>
      </c>
      <c r="J4" s="51">
        <v>625399976</v>
      </c>
      <c r="K4" s="51">
        <v>14601262975.99</v>
      </c>
      <c r="L4" s="52">
        <v>13868771649.85</v>
      </c>
      <c r="M4" s="52">
        <v>77123532</v>
      </c>
      <c r="N4" s="20">
        <f t="shared" ref="N4:N11" si="0">SUM(C4:M4)</f>
        <v>61394646408.699997</v>
      </c>
    </row>
    <row r="5" spans="1:14" x14ac:dyDescent="0.35">
      <c r="B5" s="18" t="s">
        <v>54</v>
      </c>
      <c r="C5" s="51">
        <v>4573702200.3000002</v>
      </c>
      <c r="D5" s="51">
        <v>2016220666</v>
      </c>
      <c r="E5" s="51">
        <v>3107803189</v>
      </c>
      <c r="F5" s="51">
        <v>86500000</v>
      </c>
      <c r="G5" s="51">
        <v>3165088478</v>
      </c>
      <c r="H5" s="51">
        <v>1741761401</v>
      </c>
      <c r="I5" s="51">
        <v>5866402430</v>
      </c>
      <c r="J5" s="51">
        <v>0</v>
      </c>
      <c r="K5" s="51">
        <v>7633173580</v>
      </c>
      <c r="L5" s="52">
        <v>8008172653</v>
      </c>
      <c r="M5" s="52">
        <v>0</v>
      </c>
      <c r="N5" s="20">
        <f t="shared" si="0"/>
        <v>36198824597.300003</v>
      </c>
    </row>
    <row r="6" spans="1:14" x14ac:dyDescent="0.35">
      <c r="B6" s="18" t="s">
        <v>55</v>
      </c>
      <c r="C6" s="51">
        <v>1554911820.7</v>
      </c>
      <c r="D6" s="51">
        <v>289759859</v>
      </c>
      <c r="E6" s="51">
        <v>916853596</v>
      </c>
      <c r="F6" s="51">
        <v>8000000</v>
      </c>
      <c r="G6" s="51">
        <v>1341351149</v>
      </c>
      <c r="H6" s="51">
        <v>526207414</v>
      </c>
      <c r="I6" s="51">
        <v>1437183473.55</v>
      </c>
      <c r="J6" s="51">
        <v>0</v>
      </c>
      <c r="K6" s="51">
        <v>1667095607</v>
      </c>
      <c r="L6" s="52">
        <v>2815711969.8099999</v>
      </c>
      <c r="M6" s="52">
        <v>0</v>
      </c>
      <c r="N6" s="20">
        <f>SUM(C6:M6)</f>
        <v>10557074889.059999</v>
      </c>
    </row>
    <row r="7" spans="1:14" x14ac:dyDescent="0.35">
      <c r="B7" s="18" t="s">
        <v>56</v>
      </c>
      <c r="C7" s="51">
        <v>2466812520</v>
      </c>
      <c r="D7" s="51">
        <v>2604488893.75</v>
      </c>
      <c r="E7" s="51">
        <v>5843751325</v>
      </c>
      <c r="F7" s="51">
        <v>0</v>
      </c>
      <c r="G7" s="51">
        <v>8441676823</v>
      </c>
      <c r="H7" s="51">
        <v>3013372377.6399999</v>
      </c>
      <c r="I7" s="51">
        <v>9574960082</v>
      </c>
      <c r="J7" s="51">
        <v>194000000</v>
      </c>
      <c r="K7" s="51">
        <v>10816020605</v>
      </c>
      <c r="L7" s="52">
        <v>14803647266.119999</v>
      </c>
      <c r="M7" s="52">
        <v>119400000</v>
      </c>
      <c r="N7" s="20">
        <f t="shared" si="0"/>
        <v>57878129892.509995</v>
      </c>
    </row>
    <row r="8" spans="1:14" x14ac:dyDescent="0.35">
      <c r="B8" s="18" t="s">
        <v>57</v>
      </c>
      <c r="C8" s="51">
        <v>1984547229</v>
      </c>
      <c r="D8" s="51">
        <v>19703857590</v>
      </c>
      <c r="E8" s="51">
        <v>32196506178</v>
      </c>
      <c r="F8" s="51">
        <v>470000000</v>
      </c>
      <c r="G8" s="51">
        <v>39303165579</v>
      </c>
      <c r="H8" s="51">
        <v>23002383176</v>
      </c>
      <c r="I8" s="51">
        <v>55735186740</v>
      </c>
      <c r="J8" s="51">
        <v>6882000000</v>
      </c>
      <c r="K8" s="51">
        <v>49994991842</v>
      </c>
      <c r="L8" s="52">
        <v>56288353263</v>
      </c>
      <c r="M8" s="52">
        <v>1995000000</v>
      </c>
      <c r="N8" s="20">
        <f t="shared" si="0"/>
        <v>287555991597</v>
      </c>
    </row>
    <row r="9" spans="1:14" x14ac:dyDescent="0.35">
      <c r="B9" s="18" t="s">
        <v>5</v>
      </c>
      <c r="C9" s="51">
        <v>15189139861</v>
      </c>
      <c r="D9" s="51">
        <v>5150924591.0200005</v>
      </c>
      <c r="E9" s="51">
        <v>20337745241</v>
      </c>
      <c r="F9" s="51">
        <v>1027486006</v>
      </c>
      <c r="G9" s="51">
        <v>15776210151</v>
      </c>
      <c r="H9" s="51">
        <v>3463305017.3899999</v>
      </c>
      <c r="I9" s="51">
        <v>7933762863.5599995</v>
      </c>
      <c r="J9" s="51">
        <v>356547440</v>
      </c>
      <c r="K9" s="51">
        <v>13590874250.009998</v>
      </c>
      <c r="L9" s="52">
        <v>14972293119.219999</v>
      </c>
      <c r="M9" s="52">
        <v>405403299</v>
      </c>
      <c r="N9" s="20">
        <f t="shared" si="0"/>
        <v>98203691839.199997</v>
      </c>
    </row>
    <row r="10" spans="1:14" x14ac:dyDescent="0.35">
      <c r="B10" s="18" t="s">
        <v>58</v>
      </c>
      <c r="C10" s="51">
        <v>3178670314</v>
      </c>
      <c r="D10" s="51">
        <v>527486167.23000002</v>
      </c>
      <c r="E10" s="51">
        <v>1129318689</v>
      </c>
      <c r="F10" s="51">
        <v>25461133</v>
      </c>
      <c r="G10" s="51">
        <v>678229998</v>
      </c>
      <c r="H10" s="51">
        <v>723813678</v>
      </c>
      <c r="I10" s="51">
        <v>1431938883</v>
      </c>
      <c r="J10" s="51">
        <v>0</v>
      </c>
      <c r="K10" s="51">
        <v>1498650122</v>
      </c>
      <c r="L10" s="52">
        <v>2210481389</v>
      </c>
      <c r="M10" s="52">
        <v>0</v>
      </c>
      <c r="N10" s="20">
        <f t="shared" si="0"/>
        <v>11404050373.23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300000</v>
      </c>
    </row>
    <row r="12" spans="1:14" x14ac:dyDescent="0.35">
      <c r="A12" s="17"/>
      <c r="B12" s="18"/>
      <c r="C12" s="33">
        <f>SUM(C3:C11)</f>
        <v>43655000000</v>
      </c>
      <c r="D12" s="33">
        <f t="shared" ref="D12:N12" si="1">SUM(D3:D11)</f>
        <v>31907817562</v>
      </c>
      <c r="E12" s="33">
        <f t="shared" si="1"/>
        <v>69469234257</v>
      </c>
      <c r="F12" s="33">
        <f t="shared" si="1"/>
        <v>2305000000</v>
      </c>
      <c r="G12" s="33">
        <f t="shared" si="1"/>
        <v>83145343072</v>
      </c>
      <c r="H12" s="33">
        <f t="shared" si="1"/>
        <v>37941184999</v>
      </c>
      <c r="I12" s="33">
        <f t="shared" si="1"/>
        <v>91611021937</v>
      </c>
      <c r="J12" s="33">
        <f t="shared" si="1"/>
        <v>8072947416</v>
      </c>
      <c r="K12" s="33">
        <f t="shared" si="1"/>
        <v>104500160984.99998</v>
      </c>
      <c r="L12" s="33">
        <f t="shared" si="1"/>
        <v>114917325903</v>
      </c>
      <c r="M12" s="33">
        <f t="shared" si="1"/>
        <v>2601926831</v>
      </c>
      <c r="N12" s="33">
        <f t="shared" si="1"/>
        <v>590126962962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zoomScale="91" workbookViewId="0">
      <selection activeCell="K18" sqref="K18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26 July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3.3175347680678043E-2</v>
      </c>
      <c r="D3" s="53">
        <v>3.2174068878424787E-3</v>
      </c>
      <c r="E3" s="53">
        <v>2.9484980249276392E-2</v>
      </c>
      <c r="F3" s="53">
        <v>2.0520607375271151E-2</v>
      </c>
      <c r="G3" s="53">
        <v>0.15395814347551628</v>
      </c>
      <c r="H3" s="53">
        <v>5.389298146733933E-3</v>
      </c>
      <c r="I3" s="53">
        <v>3.9453315131508508E-2</v>
      </c>
      <c r="J3" s="53">
        <v>1.8580574388817497E-3</v>
      </c>
      <c r="K3" s="53">
        <v>4.4957748951930963E-2</v>
      </c>
      <c r="L3" s="53">
        <v>1.6967803398469931E-2</v>
      </c>
      <c r="M3" s="53">
        <v>1.9216528076150194E-3</v>
      </c>
      <c r="N3" s="53">
        <v>4.5641455238394815E-2</v>
      </c>
    </row>
    <row r="4" spans="1:14" x14ac:dyDescent="0.35">
      <c r="B4" s="18" t="s">
        <v>72</v>
      </c>
      <c r="C4" s="53">
        <v>0.30372113737258044</v>
      </c>
      <c r="D4" s="53">
        <v>4.7390247235236466E-2</v>
      </c>
      <c r="E4" s="53">
        <v>5.5980997640090339E-2</v>
      </c>
      <c r="F4" s="53">
        <v>0.27776696789587851</v>
      </c>
      <c r="G4" s="53">
        <v>1.9709080213680112E-2</v>
      </c>
      <c r="H4" s="53">
        <v>0.13879022431979365</v>
      </c>
      <c r="I4" s="53">
        <v>6.5682368995162929E-2</v>
      </c>
      <c r="J4" s="53">
        <v>7.7468605178884514E-2</v>
      </c>
      <c r="K4" s="53">
        <v>0.13972478930521334</v>
      </c>
      <c r="L4" s="53">
        <v>0.12068477525796609</v>
      </c>
      <c r="M4" s="53">
        <v>2.9640930360197357E-2</v>
      </c>
      <c r="N4" s="53">
        <v>0.1040363349956836</v>
      </c>
    </row>
    <row r="5" spans="1:14" x14ac:dyDescent="0.35">
      <c r="B5" s="18" t="s">
        <v>54</v>
      </c>
      <c r="C5" s="53">
        <v>0.10476926355056695</v>
      </c>
      <c r="D5" s="53">
        <v>6.3188924221541848E-2</v>
      </c>
      <c r="E5" s="53">
        <v>4.4736396222574533E-2</v>
      </c>
      <c r="F5" s="53">
        <v>3.7527114967462041E-2</v>
      </c>
      <c r="G5" s="53">
        <v>3.8066936295628497E-2</v>
      </c>
      <c r="H5" s="53">
        <v>4.5906879319818475E-2</v>
      </c>
      <c r="I5" s="53">
        <v>6.4035989403483207E-2</v>
      </c>
      <c r="J5" s="53">
        <v>0</v>
      </c>
      <c r="K5" s="53">
        <v>7.3044610726443471E-2</v>
      </c>
      <c r="L5" s="53">
        <v>6.9686381840799005E-2</v>
      </c>
      <c r="M5" s="53">
        <v>0</v>
      </c>
      <c r="N5" s="53">
        <v>6.1340739991965001E-2</v>
      </c>
    </row>
    <row r="6" spans="1:14" x14ac:dyDescent="0.35">
      <c r="B6" s="18" t="s">
        <v>55</v>
      </c>
      <c r="C6" s="53">
        <v>3.5618183958309471E-2</v>
      </c>
      <c r="D6" s="53">
        <v>9.0811556897292759E-3</v>
      </c>
      <c r="E6" s="53">
        <v>1.3197980455752815E-2</v>
      </c>
      <c r="F6" s="53">
        <v>3.4707158351409977E-3</v>
      </c>
      <c r="G6" s="53">
        <v>1.6132607064215879E-2</v>
      </c>
      <c r="H6" s="53">
        <v>1.3869029499575964E-2</v>
      </c>
      <c r="I6" s="53">
        <v>1.5687888238364343E-2</v>
      </c>
      <c r="J6" s="53">
        <v>0</v>
      </c>
      <c r="K6" s="53">
        <v>1.5953043433486153E-2</v>
      </c>
      <c r="L6" s="53">
        <v>2.4502066574249217E-2</v>
      </c>
      <c r="M6" s="53">
        <v>0</v>
      </c>
      <c r="N6" s="53">
        <v>1.7889497602467285E-2</v>
      </c>
    </row>
    <row r="7" spans="1:14" x14ac:dyDescent="0.35">
      <c r="B7" s="18" t="s">
        <v>56</v>
      </c>
      <c r="C7" s="53">
        <v>5.6506987057610814E-2</v>
      </c>
      <c r="D7" s="53">
        <v>8.1625416363536124E-2</v>
      </c>
      <c r="E7" s="53">
        <v>8.4119990489331761E-2</v>
      </c>
      <c r="F7" s="53">
        <v>0</v>
      </c>
      <c r="G7" s="53">
        <v>0.10152915979539467</v>
      </c>
      <c r="H7" s="53">
        <v>7.9422199852730538E-2</v>
      </c>
      <c r="I7" s="53">
        <v>0.10451755563413108</v>
      </c>
      <c r="J7" s="53">
        <v>2.4030876209537297E-2</v>
      </c>
      <c r="K7" s="53">
        <v>0.10350243007331383</v>
      </c>
      <c r="L7" s="53">
        <v>0.12881997688160216</v>
      </c>
      <c r="M7" s="53">
        <v>4.5889069045846664E-2</v>
      </c>
      <c r="N7" s="53">
        <v>9.8077419818278902E-2</v>
      </c>
    </row>
    <row r="8" spans="1:14" x14ac:dyDescent="0.35">
      <c r="B8" s="18" t="s">
        <v>57</v>
      </c>
      <c r="C8" s="53">
        <v>4.5459792211659605E-2</v>
      </c>
      <c r="D8" s="53">
        <v>0.61752445311289261</v>
      </c>
      <c r="E8" s="53">
        <v>0.46346424460200164</v>
      </c>
      <c r="F8" s="53">
        <v>0.20390455531453361</v>
      </c>
      <c r="G8" s="53">
        <v>0.47270435272562755</v>
      </c>
      <c r="H8" s="53">
        <v>0.60626422650231571</v>
      </c>
      <c r="I8" s="53">
        <v>0.60838953175665411</v>
      </c>
      <c r="J8" s="53">
        <v>0.85247675295894676</v>
      </c>
      <c r="K8" s="53">
        <v>0.4784202375456274</v>
      </c>
      <c r="L8" s="53">
        <v>0.48981607273486472</v>
      </c>
      <c r="M8" s="53">
        <v>0.76673947023839273</v>
      </c>
      <c r="N8" s="53">
        <v>0.48727817850193123</v>
      </c>
    </row>
    <row r="9" spans="1:14" x14ac:dyDescent="0.35">
      <c r="B9" s="18" t="s">
        <v>5</v>
      </c>
      <c r="C9" s="53">
        <v>0.34793585754209139</v>
      </c>
      <c r="D9" s="53">
        <v>0.1614314291791111</v>
      </c>
      <c r="E9" s="53">
        <v>0.29275902431515122</v>
      </c>
      <c r="F9" s="53">
        <v>0.44576399392624727</v>
      </c>
      <c r="G9" s="53">
        <v>0.18974255885069277</v>
      </c>
      <c r="H9" s="53">
        <v>9.1280886916981663E-2</v>
      </c>
      <c r="I9" s="53">
        <v>8.6602711069154653E-2</v>
      </c>
      <c r="J9" s="53">
        <v>4.4165708213749627E-2</v>
      </c>
      <c r="K9" s="53">
        <v>0.13005601256404611</v>
      </c>
      <c r="L9" s="53">
        <v>0.13028751758336152</v>
      </c>
      <c r="M9" s="53">
        <v>0.15580887754794823</v>
      </c>
      <c r="N9" s="53">
        <v>0.16641112506754521</v>
      </c>
    </row>
    <row r="10" spans="1:14" x14ac:dyDescent="0.35">
      <c r="B10" s="18" t="s">
        <v>58</v>
      </c>
      <c r="C10" s="53">
        <v>7.2813430626503264E-2</v>
      </c>
      <c r="D10" s="53">
        <v>1.6531565225513873E-2</v>
      </c>
      <c r="E10" s="53">
        <v>1.6256386025821284E-2</v>
      </c>
      <c r="F10" s="53">
        <v>1.1046044685466378E-2</v>
      </c>
      <c r="G10" s="53">
        <v>8.1571615792442442E-3</v>
      </c>
      <c r="H10" s="53">
        <v>1.9077255442050037E-2</v>
      </c>
      <c r="I10" s="53">
        <v>1.5630639771541138E-2</v>
      </c>
      <c r="J10" s="53">
        <v>0</v>
      </c>
      <c r="K10" s="53">
        <v>1.4341127399938812E-2</v>
      </c>
      <c r="L10" s="53">
        <v>1.9235405728687371E-2</v>
      </c>
      <c r="M10" s="53">
        <v>0</v>
      </c>
      <c r="N10" s="53">
        <v>1.9324740418553525E-2</v>
      </c>
    </row>
    <row r="11" spans="1:14" x14ac:dyDescent="0.35">
      <c r="B11" s="18" t="s">
        <v>59</v>
      </c>
      <c r="C11" s="53">
        <v>0</v>
      </c>
      <c r="D11" s="53">
        <v>9.4020845962614255E-6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5.0836518042528061E-7</v>
      </c>
    </row>
    <row r="12" spans="1:14" x14ac:dyDescent="0.35">
      <c r="B12" s="23"/>
      <c r="C12" s="21">
        <f>SUM(C3:C11)</f>
        <v>0.99999999999999989</v>
      </c>
      <c r="D12" s="21">
        <f t="shared" ref="D12:N12" si="0">SUM(D3:D11)</f>
        <v>1</v>
      </c>
      <c r="E12" s="21">
        <f t="shared" si="0"/>
        <v>0.99999999999999989</v>
      </c>
      <c r="F12" s="21">
        <f t="shared" si="0"/>
        <v>1</v>
      </c>
      <c r="G12" s="21">
        <f t="shared" si="0"/>
        <v>1</v>
      </c>
      <c r="H12" s="21">
        <f t="shared" si="0"/>
        <v>1</v>
      </c>
      <c r="I12" s="21">
        <f t="shared" si="0"/>
        <v>0.99999999999999989</v>
      </c>
      <c r="J12" s="21">
        <f t="shared" si="0"/>
        <v>1</v>
      </c>
      <c r="K12" s="21">
        <f t="shared" si="0"/>
        <v>1</v>
      </c>
      <c r="L12" s="21">
        <f t="shared" si="0"/>
        <v>1</v>
      </c>
      <c r="M12" s="21">
        <f t="shared" si="0"/>
        <v>1</v>
      </c>
      <c r="N12" s="21">
        <f t="shared" si="0"/>
        <v>0.99999999999999989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C3" sqref="C3:D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26 July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314814011</v>
      </c>
      <c r="D3" s="50">
        <v>313630000</v>
      </c>
      <c r="E3" s="60">
        <f>SUM(C3:D3)</f>
        <v>628444011</v>
      </c>
      <c r="K3" s="15"/>
      <c r="L3" s="15"/>
      <c r="M3" s="54"/>
    </row>
    <row r="4" spans="1:13" x14ac:dyDescent="0.35">
      <c r="B4" s="18" t="s">
        <v>72</v>
      </c>
      <c r="C4" s="51">
        <v>54168999000</v>
      </c>
      <c r="D4" s="50">
        <v>27395244000</v>
      </c>
      <c r="E4" s="60">
        <f t="shared" ref="E4:E11" si="0">SUM(C4:D4)</f>
        <v>81564243000</v>
      </c>
      <c r="K4" s="15"/>
      <c r="L4" s="15"/>
      <c r="M4" s="54"/>
    </row>
    <row r="5" spans="1:13" x14ac:dyDescent="0.35">
      <c r="B5" s="18" t="s">
        <v>54</v>
      </c>
      <c r="C5" s="51">
        <v>1318950000</v>
      </c>
      <c r="D5" s="50">
        <v>3629780000</v>
      </c>
      <c r="E5" s="60">
        <f t="shared" si="0"/>
        <v>4948730000</v>
      </c>
      <c r="K5" s="15"/>
      <c r="L5" s="15"/>
      <c r="M5" s="54"/>
    </row>
    <row r="6" spans="1:13" x14ac:dyDescent="0.35">
      <c r="B6" s="18" t="s">
        <v>55</v>
      </c>
      <c r="C6" s="51">
        <v>1360500000</v>
      </c>
      <c r="D6" s="50">
        <v>415000000</v>
      </c>
      <c r="E6" s="60">
        <f t="shared" si="0"/>
        <v>1775500000</v>
      </c>
      <c r="K6" s="15"/>
      <c r="L6" s="15"/>
      <c r="M6" s="54"/>
    </row>
    <row r="7" spans="1:13" x14ac:dyDescent="0.35">
      <c r="B7" s="18" t="s">
        <v>56</v>
      </c>
      <c r="C7" s="51">
        <v>55300000</v>
      </c>
      <c r="D7" s="50">
        <v>442670000</v>
      </c>
      <c r="E7" s="60">
        <f t="shared" si="0"/>
        <v>497970000</v>
      </c>
      <c r="K7" s="15"/>
      <c r="L7" s="15"/>
      <c r="M7" s="54"/>
    </row>
    <row r="8" spans="1:13" x14ac:dyDescent="0.35">
      <c r="B8" s="18" t="s">
        <v>57</v>
      </c>
      <c r="C8" s="51">
        <v>44350000</v>
      </c>
      <c r="D8" s="50">
        <v>155300000</v>
      </c>
      <c r="E8" s="60">
        <f t="shared" si="0"/>
        <v>199650000</v>
      </c>
      <c r="K8" s="15"/>
      <c r="L8" s="15"/>
      <c r="M8" s="54"/>
    </row>
    <row r="9" spans="1:13" x14ac:dyDescent="0.35">
      <c r="B9" s="18" t="s">
        <v>5</v>
      </c>
      <c r="C9" s="51">
        <v>13788488386</v>
      </c>
      <c r="D9" s="50">
        <v>30347076000</v>
      </c>
      <c r="E9" s="60">
        <f t="shared" si="0"/>
        <v>44135564386</v>
      </c>
      <c r="K9" s="15"/>
      <c r="L9" s="15"/>
      <c r="M9" s="54"/>
    </row>
    <row r="10" spans="1:13" x14ac:dyDescent="0.35">
      <c r="B10" s="18" t="s">
        <v>58</v>
      </c>
      <c r="C10" s="51">
        <v>23598603</v>
      </c>
      <c r="D10" s="50">
        <v>176300000</v>
      </c>
      <c r="E10" s="60">
        <f t="shared" si="0"/>
        <v>199898603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71075000000</v>
      </c>
      <c r="D12" s="20">
        <f t="shared" ref="D12:E12" si="1">SUM(D3:D11)</f>
        <v>62875000000</v>
      </c>
      <c r="E12" s="20">
        <f t="shared" si="1"/>
        <v>133950000000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E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26 July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4.4293212944073162E-3</v>
      </c>
      <c r="D4" s="53">
        <v>4.9881510934393636E-3</v>
      </c>
      <c r="E4" s="53">
        <v>4.6916312877939527E-3</v>
      </c>
    </row>
    <row r="5" spans="1:5" ht="13" x14ac:dyDescent="0.3">
      <c r="B5" s="18" t="s">
        <v>72</v>
      </c>
      <c r="C5" s="53">
        <v>0.76213857193105872</v>
      </c>
      <c r="D5" s="53">
        <v>0.43570964612326046</v>
      </c>
      <c r="E5" s="53">
        <v>0.60891558790593503</v>
      </c>
    </row>
    <row r="6" spans="1:5" ht="13" x14ac:dyDescent="0.3">
      <c r="B6" s="18" t="s">
        <v>54</v>
      </c>
      <c r="C6" s="53">
        <v>1.8557157931762224E-2</v>
      </c>
      <c r="D6" s="53">
        <v>5.7730099403578532E-2</v>
      </c>
      <c r="E6" s="53">
        <v>3.694460619634192E-2</v>
      </c>
    </row>
    <row r="7" spans="1:5" ht="13" x14ac:dyDescent="0.3">
      <c r="B7" s="18" t="s">
        <v>55</v>
      </c>
      <c r="C7" s="53">
        <v>1.9141751670770313E-2</v>
      </c>
      <c r="D7" s="53">
        <v>6.6003976143141152E-3</v>
      </c>
      <c r="E7" s="53">
        <v>1.3254945875326614E-2</v>
      </c>
    </row>
    <row r="8" spans="1:5" ht="13" x14ac:dyDescent="0.3">
      <c r="B8" s="18" t="s">
        <v>56</v>
      </c>
      <c r="C8" s="53">
        <v>7.7805135420330632E-4</v>
      </c>
      <c r="D8" s="53">
        <v>7.0404771371769381E-3</v>
      </c>
      <c r="E8" s="53">
        <v>3.7175811870100782E-3</v>
      </c>
    </row>
    <row r="9" spans="1:5" ht="13" x14ac:dyDescent="0.3">
      <c r="B9" s="18" t="s">
        <v>57</v>
      </c>
      <c r="C9" s="53">
        <v>6.2398874428420687E-4</v>
      </c>
      <c r="D9" s="53">
        <v>2.4699801192842943E-3</v>
      </c>
      <c r="E9" s="53">
        <v>1.490481522956327E-3</v>
      </c>
    </row>
    <row r="10" spans="1:5" ht="13" x14ac:dyDescent="0.3">
      <c r="B10" s="18" t="s">
        <v>5</v>
      </c>
      <c r="C10" s="53">
        <v>0.19399913311290889</v>
      </c>
      <c r="D10" s="53">
        <v>0.48265727236580519</v>
      </c>
      <c r="E10" s="53">
        <v>0.32949282856289658</v>
      </c>
    </row>
    <row r="11" spans="1:5" ht="13" x14ac:dyDescent="0.3">
      <c r="B11" s="18" t="s">
        <v>58</v>
      </c>
      <c r="C11" s="53">
        <v>3.3202396060499472E-4</v>
      </c>
      <c r="D11" s="53">
        <v>2.8039761431411531E-3</v>
      </c>
      <c r="E11" s="53">
        <v>1.4923374617394551E-3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f>SUM(C4:C12)</f>
        <v>0.99999999999999989</v>
      </c>
      <c r="D13" s="21">
        <f t="shared" ref="D13:E13" si="0">SUM(D4:D12)</f>
        <v>1</v>
      </c>
      <c r="E13" s="21">
        <f t="shared" si="0"/>
        <v>0.99999999999999978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H4" sqref="H4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65" bestFit="1" customWidth="1"/>
  </cols>
  <sheetData>
    <row r="1" spans="1:7" x14ac:dyDescent="0.35">
      <c r="A1" s="69" t="str">
        <f>'FRN % (Values)'!A1</f>
        <v>26 July 2024</v>
      </c>
    </row>
    <row r="2" spans="1:7" x14ac:dyDescent="0.35">
      <c r="B2" s="18" t="s">
        <v>40</v>
      </c>
      <c r="C2" s="18" t="s">
        <v>85</v>
      </c>
      <c r="D2" s="57" t="s">
        <v>86</v>
      </c>
      <c r="E2" s="57" t="s">
        <v>87</v>
      </c>
      <c r="F2" s="57" t="s">
        <v>88</v>
      </c>
      <c r="G2" s="18" t="s">
        <v>52</v>
      </c>
    </row>
    <row r="3" spans="1:7" x14ac:dyDescent="0.35">
      <c r="B3" s="18" t="s">
        <v>53</v>
      </c>
      <c r="C3" s="51">
        <v>100000000</v>
      </c>
      <c r="D3" s="50">
        <v>750000000</v>
      </c>
      <c r="E3" s="50">
        <v>750000000</v>
      </c>
      <c r="F3" s="50">
        <v>300000000</v>
      </c>
      <c r="G3" s="57">
        <f t="shared" ref="G3:G11" si="0">SUM(C3:F3)</f>
        <v>1900000000</v>
      </c>
    </row>
    <row r="4" spans="1:7" x14ac:dyDescent="0.35">
      <c r="B4" s="18" t="s">
        <v>72</v>
      </c>
      <c r="C4" s="51">
        <v>5823000000</v>
      </c>
      <c r="D4" s="50">
        <v>7877000000</v>
      </c>
      <c r="E4" s="50">
        <v>1300000000</v>
      </c>
      <c r="F4" s="50">
        <v>621000000</v>
      </c>
      <c r="G4" s="57">
        <f t="shared" si="0"/>
        <v>15621000000</v>
      </c>
    </row>
    <row r="5" spans="1:7" x14ac:dyDescent="0.35">
      <c r="B5" s="18" t="s">
        <v>54</v>
      </c>
      <c r="C5" s="51">
        <v>0</v>
      </c>
      <c r="D5" s="50">
        <v>30565000</v>
      </c>
      <c r="E5" s="50">
        <v>30700000</v>
      </c>
      <c r="F5" s="50">
        <v>0</v>
      </c>
      <c r="G5" s="57">
        <f t="shared" si="0"/>
        <v>61265000</v>
      </c>
    </row>
    <row r="6" spans="1:7" x14ac:dyDescent="0.35">
      <c r="B6" s="18" t="s">
        <v>55</v>
      </c>
      <c r="C6" s="51">
        <v>0</v>
      </c>
      <c r="D6" s="50">
        <v>0</v>
      </c>
      <c r="E6" s="50">
        <v>0</v>
      </c>
      <c r="F6" s="50">
        <v>0</v>
      </c>
      <c r="G6" s="57">
        <f t="shared" si="0"/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50">
        <v>8500000</v>
      </c>
      <c r="F7" s="50">
        <v>0</v>
      </c>
      <c r="G7" s="57">
        <f t="shared" si="0"/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50">
        <v>97000000</v>
      </c>
      <c r="F8" s="50">
        <v>138000000</v>
      </c>
      <c r="G8" s="57">
        <f t="shared" si="0"/>
        <v>310000000</v>
      </c>
    </row>
    <row r="9" spans="1:7" x14ac:dyDescent="0.35">
      <c r="B9" s="18" t="s">
        <v>5</v>
      </c>
      <c r="C9" s="51">
        <v>1532000000</v>
      </c>
      <c r="D9" s="50">
        <v>127894077</v>
      </c>
      <c r="E9" s="50">
        <v>290710000</v>
      </c>
      <c r="F9" s="50">
        <v>483000000</v>
      </c>
      <c r="G9" s="57">
        <f t="shared" si="0"/>
        <v>2433604077</v>
      </c>
    </row>
    <row r="10" spans="1:7" x14ac:dyDescent="0.35">
      <c r="B10" s="18" t="s">
        <v>58</v>
      </c>
      <c r="C10" s="51">
        <v>0</v>
      </c>
      <c r="D10" s="50">
        <v>32040923</v>
      </c>
      <c r="E10" s="50">
        <v>2090000</v>
      </c>
      <c r="F10" s="50">
        <v>9000000</v>
      </c>
      <c r="G10" s="57">
        <f t="shared" si="0"/>
        <v>43130923</v>
      </c>
    </row>
    <row r="11" spans="1:7" x14ac:dyDescent="0.35">
      <c r="B11" s="19" t="s">
        <v>59</v>
      </c>
      <c r="C11" s="52">
        <v>0</v>
      </c>
      <c r="D11" s="50">
        <v>0</v>
      </c>
      <c r="E11" s="50">
        <v>0</v>
      </c>
      <c r="F11" s="50">
        <v>0</v>
      </c>
      <c r="G11" s="57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G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F6" sqref="F6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69" t="str">
        <f>'Sukuk (Values)'!A1</f>
        <v>26 July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53">
        <v>1.335113484646195E-2</v>
      </c>
      <c r="D3" s="53">
        <v>8.4592826528310405E-2</v>
      </c>
      <c r="E3" s="53">
        <v>0.30254134731746674</v>
      </c>
      <c r="F3" s="53">
        <v>0.19342359767891681</v>
      </c>
      <c r="G3" s="70">
        <v>9.3201216521141966E-2</v>
      </c>
    </row>
    <row r="4" spans="1:7" x14ac:dyDescent="0.35">
      <c r="B4" s="18" t="s">
        <v>72</v>
      </c>
      <c r="C4" s="53">
        <v>0.7774365821094793</v>
      </c>
      <c r="D4" s="53">
        <v>0.88845025941800138</v>
      </c>
      <c r="E4" s="53">
        <v>0.52440500201694229</v>
      </c>
      <c r="F4" s="53">
        <v>0.40038684719535783</v>
      </c>
      <c r="G4" s="70">
        <v>0.7662611596193466</v>
      </c>
    </row>
    <row r="5" spans="1:7" x14ac:dyDescent="0.35">
      <c r="B5" s="18" t="s">
        <v>54</v>
      </c>
      <c r="C5" s="53">
        <v>0</v>
      </c>
      <c r="D5" s="53">
        <v>3.4474396571170765E-3</v>
      </c>
      <c r="E5" s="53">
        <v>1.2384025816861637E-2</v>
      </c>
      <c r="F5" s="53">
        <v>0</v>
      </c>
      <c r="G5" s="70">
        <v>3.0052487000882958E-3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0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0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0">
        <v>1.5206514274502109E-2</v>
      </c>
    </row>
    <row r="9" spans="1:7" x14ac:dyDescent="0.35">
      <c r="B9" s="18" t="s">
        <v>5</v>
      </c>
      <c r="C9" s="53">
        <v>0.20453938584779707</v>
      </c>
      <c r="D9" s="53">
        <v>1.4425228626212497E-2</v>
      </c>
      <c r="E9" s="53">
        <v>0.117269060104881</v>
      </c>
      <c r="F9" s="53">
        <v>0.3114119922630561</v>
      </c>
      <c r="G9" s="70">
        <v>0.11937624237221622</v>
      </c>
    </row>
    <row r="10" spans="1:7" x14ac:dyDescent="0.35">
      <c r="B10" s="18" t="s">
        <v>58</v>
      </c>
      <c r="C10" s="53">
        <v>0</v>
      </c>
      <c r="D10" s="53">
        <v>3.6139096548612679E-3</v>
      </c>
      <c r="E10" s="53">
        <v>8.4308188785800725E-4</v>
      </c>
      <c r="F10" s="53">
        <v>5.8027079303675051E-3</v>
      </c>
      <c r="G10" s="70">
        <v>2.1157128911998432E-3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0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0.99999999999999989</v>
      </c>
      <c r="F12" s="21">
        <f t="shared" si="0"/>
        <v>1</v>
      </c>
      <c r="G12" s="21">
        <f t="shared" si="0"/>
        <v>1.0000000000000002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2024-08-02T08:27:45Z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