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978\Desktop\"/>
    </mc:Choice>
  </mc:AlternateContent>
  <xr:revisionPtr revIDLastSave="0" documentId="8_{367E6321-BC71-4127-AD50-148ED96D8CB1}" xr6:coauthVersionLast="36" xr6:coauthVersionMax="36" xr10:uidLastSave="{00000000-0000-0000-0000-000000000000}"/>
  <bookViews>
    <workbookView xWindow="0" yWindow="0" windowWidth="19200" windowHeight="6060" firstSheet="4" activeTab="8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</workbook>
</file>

<file path=xl/calcChain.xml><?xml version="1.0" encoding="utf-8"?>
<calcChain xmlns="http://schemas.openxmlformats.org/spreadsheetml/2006/main">
  <c r="A1" i="4" l="1"/>
  <c r="A1" i="5"/>
  <c r="A1" i="6"/>
  <c r="A1" i="7"/>
  <c r="A1" i="8" s="1"/>
  <c r="A1" i="9" s="1"/>
  <c r="A1" i="3"/>
</calcChain>
</file>

<file path=xl/sharedStrings.xml><?xml version="1.0" encoding="utf-8"?>
<sst xmlns="http://schemas.openxmlformats.org/spreadsheetml/2006/main" count="348" uniqueCount="94">
  <si>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</si>
  <si>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</si>
  <si>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</si>
  <si>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</si>
  <si>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</si>
  <si>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</si>
  <si>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</si>
  <si>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</si>
  <si>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</si>
  <si>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</si>
  <si>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</si>
  <si>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</si>
  <si>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</si>
  <si>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</si>
  <si>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</si>
  <si>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</si>
  <si>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</si>
  <si>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</si>
  <si>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</si>
  <si>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</si>
  <si>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</si>
  <si>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</si>
  <si>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</si>
  <si>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</si>
  <si>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</si>
  <si>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</si>
  <si>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</si>
  <si>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</si>
  <si>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</si>
  <si>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</si>
  <si>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</si>
  <si>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</si>
  <si>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</si>
  <si>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</si>
  <si>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</si>
  <si>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</si>
  <si>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</si>
  <si>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</si>
  <si>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</si>
  <si>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</si>
  <si>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</si>
  <si>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</si>
  <si>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</si>
  <si>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</si>
  <si>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</si>
  <si>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</si>
  <si>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</si>
  <si>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</si>
  <si>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</si>
  <si>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</si>
  <si>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</si>
  <si>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</si>
  <si>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</si>
  <si>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</si>
  <si>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</si>
  <si>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</si>
  <si>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</si>
  <si>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</si>
  <si>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</si>
  <si>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</si>
  <si>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</si>
  <si>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</si>
  <si>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</si>
  <si>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</si>
  <si>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</si>
  <si>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</si>
  <si>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</si>
  <si>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</si>
  <si>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</si>
  <si>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</si>
  <si>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</si>
  <si>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</si>
  <si>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</si>
  <si>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</si>
  <si>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</si>
  <si>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</si>
  <si>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</si>
  <si>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</si>
  <si>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</si>
  <si>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</si>
  <si>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</si>
  <si>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</si>
  <si>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</si>
  <si>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</si>
  <si>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</si>
  <si>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</si>
  <si>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</si>
  <si>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</si>
  <si>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</si>
  <si>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</si>
  <si>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</si>
  <si>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2025</t>
  </si>
  <si>
    <t>RN2032 (2032)</t>
  </si>
  <si>
    <t>30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</si>
</sst>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workbookViewId="0">
      <pane ySplit="1" topLeftCell="A163" activePane="bottomLeft" state="frozen"/>
      <selection pane="bottomLeft" activeCell="E178" sqref="E178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91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  <row r="175" spans="1:8" x14ac:dyDescent="0.35">
      <c r="B175" s="5" t="s">
        <v>26</v>
      </c>
      <c r="C175" s="6">
        <v>0.24815537147471178</v>
      </c>
      <c r="D175" s="6">
        <v>0.20809436744644191</v>
      </c>
      <c r="E175" s="6">
        <v>7.3592781641961022E-2</v>
      </c>
      <c r="F175" s="6">
        <v>0.22641543582422868</v>
      </c>
      <c r="G175" s="6">
        <v>0.23080133851982673</v>
      </c>
      <c r="H175" s="6">
        <v>1.2940705092829814E-2</v>
      </c>
    </row>
    <row r="176" spans="1:8" x14ac:dyDescent="0.35">
      <c r="B176" s="5" t="s">
        <v>15</v>
      </c>
      <c r="C176" s="6">
        <v>0.24476606255862204</v>
      </c>
      <c r="D176" s="6">
        <v>0.21511751584674363</v>
      </c>
      <c r="E176" s="6">
        <v>7.5198683052154061E-2</v>
      </c>
      <c r="F176" s="6">
        <v>0.22535460579310077</v>
      </c>
      <c r="G176" s="6">
        <v>0.22658465060602445</v>
      </c>
      <c r="H176" s="6">
        <v>1.297848214335507E-2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59" workbookViewId="0">
      <selection activeCell="B15" sqref="B15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93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89</v>
      </c>
      <c r="H2" s="41" t="s">
        <v>45</v>
      </c>
      <c r="I2" s="41" t="s">
        <v>46</v>
      </c>
      <c r="J2" s="41" t="s">
        <v>47</v>
      </c>
      <c r="K2" s="41" t="s">
        <v>90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87052882194.949997</v>
      </c>
      <c r="D3" s="64">
        <v>84814724099.48999</v>
      </c>
      <c r="E3" s="64">
        <v>72366286043</v>
      </c>
      <c r="F3" s="64">
        <v>75800369809</v>
      </c>
      <c r="G3" s="64">
        <v>7088632640</v>
      </c>
      <c r="H3" s="64">
        <v>154280495645</v>
      </c>
      <c r="I3" s="64">
        <v>37316842171.32</v>
      </c>
      <c r="J3" s="64">
        <v>101167517521</v>
      </c>
      <c r="K3" s="64">
        <v>6756724492</v>
      </c>
      <c r="L3" s="64">
        <v>106242437307</v>
      </c>
      <c r="M3" s="64">
        <v>49966349534</v>
      </c>
      <c r="N3" s="64">
        <v>85575232096</v>
      </c>
      <c r="O3" s="64">
        <v>89579802149</v>
      </c>
      <c r="P3" s="64">
        <v>17293353473</v>
      </c>
      <c r="Q3" s="54">
        <v>975301649174.76001</v>
      </c>
      <c r="R3" s="51"/>
    </row>
    <row r="4" spans="1:18" x14ac:dyDescent="0.35">
      <c r="B4" s="18" t="s">
        <v>71</v>
      </c>
      <c r="C4" s="64">
        <v>123264085983.64999</v>
      </c>
      <c r="D4" s="64">
        <v>92902268275.529999</v>
      </c>
      <c r="E4" s="64">
        <v>56125222861</v>
      </c>
      <c r="F4" s="64">
        <v>83880985549.199997</v>
      </c>
      <c r="G4" s="64">
        <v>9530446993</v>
      </c>
      <c r="H4" s="64">
        <v>46476049834.800003</v>
      </c>
      <c r="I4" s="64">
        <v>11408706417</v>
      </c>
      <c r="J4" s="64">
        <v>47549740413.690002</v>
      </c>
      <c r="K4" s="64">
        <v>8580759483</v>
      </c>
      <c r="L4" s="64">
        <v>31875116819</v>
      </c>
      <c r="M4" s="64">
        <v>9369142957</v>
      </c>
      <c r="N4" s="64">
        <v>46614879383.099998</v>
      </c>
      <c r="O4" s="64">
        <v>130177638922.58</v>
      </c>
      <c r="P4" s="64">
        <v>17012953135</v>
      </c>
      <c r="Q4" s="54">
        <v>714767997027.54993</v>
      </c>
    </row>
    <row r="5" spans="1:18" x14ac:dyDescent="0.35">
      <c r="B5" s="18" t="s">
        <v>54</v>
      </c>
      <c r="C5" s="64">
        <v>14450064273.9</v>
      </c>
      <c r="D5" s="64">
        <v>20825699336</v>
      </c>
      <c r="E5" s="64">
        <v>10970695114</v>
      </c>
      <c r="F5" s="64">
        <v>13661922349</v>
      </c>
      <c r="G5" s="64">
        <v>711098044</v>
      </c>
      <c r="H5" s="64">
        <v>15006497247</v>
      </c>
      <c r="I5" s="64">
        <v>8169024806</v>
      </c>
      <c r="J5" s="64">
        <v>19713962851.75</v>
      </c>
      <c r="K5" s="64">
        <v>3228085238</v>
      </c>
      <c r="L5" s="64">
        <v>23193013317</v>
      </c>
      <c r="M5" s="64">
        <v>9989341739</v>
      </c>
      <c r="N5" s="64">
        <v>25720921741</v>
      </c>
      <c r="O5" s="64">
        <v>40043467339</v>
      </c>
      <c r="P5" s="64">
        <v>14145454074</v>
      </c>
      <c r="Q5" s="54">
        <v>219829247469.64999</v>
      </c>
    </row>
    <row r="6" spans="1:18" x14ac:dyDescent="0.35">
      <c r="B6" s="18" t="s">
        <v>55</v>
      </c>
      <c r="C6" s="64">
        <v>2467334588</v>
      </c>
      <c r="D6" s="64">
        <v>3391748956</v>
      </c>
      <c r="E6" s="64">
        <v>2457067060</v>
      </c>
      <c r="F6" s="64">
        <v>3959438970</v>
      </c>
      <c r="G6" s="64">
        <v>645100000</v>
      </c>
      <c r="H6" s="64">
        <v>2994009194</v>
      </c>
      <c r="I6" s="64">
        <v>293134796</v>
      </c>
      <c r="J6" s="64">
        <v>3597547730</v>
      </c>
      <c r="K6" s="64">
        <v>547037310</v>
      </c>
      <c r="L6" s="64">
        <v>3211795705</v>
      </c>
      <c r="M6" s="64">
        <v>849709264</v>
      </c>
      <c r="N6" s="64">
        <v>2107625481</v>
      </c>
      <c r="O6" s="64">
        <v>3950106726</v>
      </c>
      <c r="P6" s="64">
        <v>272862377</v>
      </c>
      <c r="Q6" s="54">
        <v>30744518157</v>
      </c>
    </row>
    <row r="7" spans="1:18" x14ac:dyDescent="0.35">
      <c r="B7" s="18" t="s">
        <v>56</v>
      </c>
      <c r="C7" s="64">
        <v>3468219989.73</v>
      </c>
      <c r="D7" s="64">
        <v>6839832331</v>
      </c>
      <c r="E7" s="64">
        <v>4376356489</v>
      </c>
      <c r="F7" s="64">
        <v>11339745682</v>
      </c>
      <c r="G7" s="64">
        <v>424267072</v>
      </c>
      <c r="H7" s="64">
        <v>9139405844</v>
      </c>
      <c r="I7" s="64">
        <v>4321434609</v>
      </c>
      <c r="J7" s="64">
        <v>10438573686</v>
      </c>
      <c r="K7" s="64">
        <v>747600000</v>
      </c>
      <c r="L7" s="64">
        <v>10340365532</v>
      </c>
      <c r="M7" s="64">
        <v>2370217897</v>
      </c>
      <c r="N7" s="64">
        <v>7711969140</v>
      </c>
      <c r="O7" s="64">
        <v>12592103875</v>
      </c>
      <c r="P7" s="64">
        <v>1412533637</v>
      </c>
      <c r="Q7" s="54">
        <v>85522625783.729996</v>
      </c>
    </row>
    <row r="8" spans="1:18" x14ac:dyDescent="0.35">
      <c r="B8" s="18" t="s">
        <v>57</v>
      </c>
      <c r="C8" s="64">
        <v>12407345283.51</v>
      </c>
      <c r="D8" s="64">
        <v>55065856884</v>
      </c>
      <c r="E8" s="64">
        <v>20769593083</v>
      </c>
      <c r="F8" s="64">
        <v>51372940904</v>
      </c>
      <c r="G8" s="64">
        <v>34460574</v>
      </c>
      <c r="H8" s="64">
        <v>51360895509</v>
      </c>
      <c r="I8" s="64">
        <v>15828367522</v>
      </c>
      <c r="J8" s="64">
        <v>59702285457</v>
      </c>
      <c r="K8" s="64">
        <v>922173686</v>
      </c>
      <c r="L8" s="64">
        <v>43525967001</v>
      </c>
      <c r="M8" s="64">
        <v>9078262380</v>
      </c>
      <c r="N8" s="64">
        <v>52126847236</v>
      </c>
      <c r="O8" s="64">
        <v>71564175412</v>
      </c>
      <c r="P8" s="64">
        <v>7137809695</v>
      </c>
      <c r="Q8" s="54">
        <v>450896980626.51001</v>
      </c>
    </row>
    <row r="9" spans="1:18" x14ac:dyDescent="0.35">
      <c r="B9" s="18" t="s">
        <v>5</v>
      </c>
      <c r="C9" s="64">
        <v>74805845373.699997</v>
      </c>
      <c r="D9" s="64">
        <v>79397402021.979996</v>
      </c>
      <c r="E9" s="64">
        <v>49277163462</v>
      </c>
      <c r="F9" s="64">
        <v>98333920176</v>
      </c>
      <c r="G9" s="64">
        <v>8159966457</v>
      </c>
      <c r="H9" s="64">
        <v>75424459975.199997</v>
      </c>
      <c r="I9" s="64">
        <v>24193714857.68</v>
      </c>
      <c r="J9" s="64">
        <v>87945883545.25</v>
      </c>
      <c r="K9" s="64">
        <v>12257641559</v>
      </c>
      <c r="L9" s="64">
        <v>69055040437</v>
      </c>
      <c r="M9" s="64">
        <v>10527766282</v>
      </c>
      <c r="N9" s="64">
        <v>61405980237</v>
      </c>
      <c r="O9" s="64">
        <v>83672812267.419998</v>
      </c>
      <c r="P9" s="64">
        <v>22995631815</v>
      </c>
      <c r="Q9" s="54">
        <v>757453228466.2301</v>
      </c>
    </row>
    <row r="10" spans="1:18" x14ac:dyDescent="0.35">
      <c r="B10" s="18" t="s">
        <v>58</v>
      </c>
      <c r="C10" s="64">
        <v>2441790885.4499998</v>
      </c>
      <c r="D10" s="64">
        <v>4795573416</v>
      </c>
      <c r="E10" s="64">
        <v>1834477392</v>
      </c>
      <c r="F10" s="64">
        <v>4599797823.8000002</v>
      </c>
      <c r="G10" s="64">
        <v>38491016</v>
      </c>
      <c r="H10" s="64">
        <v>5465256747</v>
      </c>
      <c r="I10" s="64">
        <v>2727326966</v>
      </c>
      <c r="J10" s="64">
        <v>5677673818.3099995</v>
      </c>
      <c r="K10" s="64">
        <v>190814367</v>
      </c>
      <c r="L10" s="64">
        <v>7561455858</v>
      </c>
      <c r="M10" s="64">
        <v>1231066443</v>
      </c>
      <c r="N10" s="64">
        <v>1900490895.9000001</v>
      </c>
      <c r="O10" s="64">
        <v>1999541145</v>
      </c>
      <c r="P10" s="64">
        <v>503910985</v>
      </c>
      <c r="Q10" s="54">
        <v>40967667758.459999</v>
      </c>
    </row>
    <row r="11" spans="1:18" x14ac:dyDescent="0.35">
      <c r="A11" s="17"/>
      <c r="B11" s="19" t="s">
        <v>59</v>
      </c>
      <c r="C11" s="65">
        <v>297187666</v>
      </c>
      <c r="D11" s="65">
        <v>150554711</v>
      </c>
      <c r="E11" s="65">
        <v>299740</v>
      </c>
      <c r="F11" s="65">
        <v>37369688</v>
      </c>
      <c r="G11" s="65">
        <v>0</v>
      </c>
      <c r="H11" s="65">
        <v>495226442</v>
      </c>
      <c r="I11" s="65">
        <v>4000000</v>
      </c>
      <c r="J11" s="65">
        <v>2774683</v>
      </c>
      <c r="K11" s="65">
        <v>0</v>
      </c>
      <c r="L11" s="65">
        <v>34618732</v>
      </c>
      <c r="M11" s="65">
        <v>0</v>
      </c>
      <c r="N11" s="65">
        <v>7005000</v>
      </c>
      <c r="O11" s="65">
        <v>39000000</v>
      </c>
      <c r="P11" s="65">
        <v>0</v>
      </c>
      <c r="Q11" s="54">
        <v>1068036662</v>
      </c>
    </row>
    <row r="12" spans="1:18" x14ac:dyDescent="0.35">
      <c r="B12" s="19"/>
      <c r="C12" s="20">
        <v>320654756238.89001</v>
      </c>
      <c r="D12" s="20">
        <v>348183660031</v>
      </c>
      <c r="E12" s="20">
        <v>218177161244</v>
      </c>
      <c r="F12" s="20">
        <v>342986490951</v>
      </c>
      <c r="G12" s="20">
        <v>26632462796</v>
      </c>
      <c r="H12" s="20">
        <v>360642296438</v>
      </c>
      <c r="I12" s="20">
        <v>104262552145</v>
      </c>
      <c r="J12" s="20">
        <v>335795959706</v>
      </c>
      <c r="K12" s="20">
        <v>33230836135</v>
      </c>
      <c r="L12" s="20">
        <v>295039810708</v>
      </c>
      <c r="M12" s="20">
        <v>93381856496</v>
      </c>
      <c r="N12" s="20">
        <v>283170951210</v>
      </c>
      <c r="O12" s="20">
        <v>433618647836</v>
      </c>
      <c r="P12" s="20">
        <v>80774509191</v>
      </c>
      <c r="Q12" s="20">
        <v>3276551951125.8901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zoomScale="74" workbookViewId="0"/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30 May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89</v>
      </c>
      <c r="H2" s="45" t="s">
        <v>45</v>
      </c>
      <c r="I2" s="45" t="s">
        <v>46</v>
      </c>
      <c r="J2" s="45" t="s">
        <v>47</v>
      </c>
      <c r="K2" s="45" t="s">
        <v>90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0.2714847682786124</v>
      </c>
      <c r="D3" s="67">
        <v>0.24359191379612311</v>
      </c>
      <c r="E3" s="67">
        <v>0.33168589063301929</v>
      </c>
      <c r="F3" s="67">
        <v>0.22100103592659878</v>
      </c>
      <c r="G3" s="67">
        <v>0.26616511939949694</v>
      </c>
      <c r="H3" s="67">
        <v>0.42779368135352147</v>
      </c>
      <c r="I3" s="67">
        <v>0.35791222642836068</v>
      </c>
      <c r="J3" s="67">
        <v>0.30127675630634559</v>
      </c>
      <c r="K3" s="67">
        <v>0.20332694803557944</v>
      </c>
      <c r="L3" s="67">
        <v>0.36009525986358437</v>
      </c>
      <c r="M3" s="67">
        <v>0.53507556402180012</v>
      </c>
      <c r="N3" s="67">
        <v>0.30220342775391984</v>
      </c>
      <c r="O3" s="67">
        <v>0.2065865999906909</v>
      </c>
      <c r="P3" s="67">
        <v>0.21409419439625449</v>
      </c>
      <c r="Q3" s="67">
        <v>0.29766097523331697</v>
      </c>
    </row>
    <row r="4" spans="1:17" x14ac:dyDescent="0.35">
      <c r="B4" s="47" t="s">
        <v>71</v>
      </c>
      <c r="C4" s="67">
        <v>0.38441371470509983</v>
      </c>
      <c r="D4" s="67">
        <v>0.26681972458804815</v>
      </c>
      <c r="E4" s="67">
        <v>0.25724609551699112</v>
      </c>
      <c r="F4" s="67">
        <v>0.24456061029290938</v>
      </c>
      <c r="G4" s="67">
        <v>0.3578507577763857</v>
      </c>
      <c r="H4" s="67">
        <v>0.1288702137653728</v>
      </c>
      <c r="I4" s="67">
        <v>0.10942285779781878</v>
      </c>
      <c r="J4" s="67">
        <v>0.14160307484140461</v>
      </c>
      <c r="K4" s="67">
        <v>0.25821677938348392</v>
      </c>
      <c r="L4" s="67">
        <v>0.10803666373873425</v>
      </c>
      <c r="M4" s="67">
        <v>0.10033151308574943</v>
      </c>
      <c r="N4" s="67">
        <v>0.16461744816660356</v>
      </c>
      <c r="O4" s="67">
        <v>0.30021227078733664</v>
      </c>
      <c r="P4" s="67">
        <v>0.21062279802618231</v>
      </c>
      <c r="Q4" s="66">
        <v>0.20413961563726857</v>
      </c>
    </row>
    <row r="5" spans="1:17" x14ac:dyDescent="0.35">
      <c r="B5" s="47" t="s">
        <v>54</v>
      </c>
      <c r="C5" s="67">
        <v>4.5064244308712517E-2</v>
      </c>
      <c r="D5" s="67">
        <v>5.9812397095675929E-2</v>
      </c>
      <c r="E5" s="67">
        <v>5.028342587027633E-2</v>
      </c>
      <c r="F5" s="67">
        <v>3.9832246194651963E-2</v>
      </c>
      <c r="G5" s="67">
        <v>2.6700423819114531E-2</v>
      </c>
      <c r="H5" s="67">
        <v>4.1610474964297067E-2</v>
      </c>
      <c r="I5" s="67">
        <v>7.8350516440832713E-2</v>
      </c>
      <c r="J5" s="67">
        <v>5.8708159767646401E-2</v>
      </c>
      <c r="K5" s="67">
        <v>9.7141258344687148E-2</v>
      </c>
      <c r="L5" s="67">
        <v>7.8609775614159591E-2</v>
      </c>
      <c r="M5" s="67">
        <v>0.10697304716176737</v>
      </c>
      <c r="N5" s="67">
        <v>9.0831780700292686E-2</v>
      </c>
      <c r="O5" s="67">
        <v>9.2347198486133694E-2</v>
      </c>
      <c r="P5" s="67">
        <v>0.17512274869478384</v>
      </c>
      <c r="Q5" s="66">
        <v>6.7218271418500272E-2</v>
      </c>
    </row>
    <row r="6" spans="1:17" x14ac:dyDescent="0.35">
      <c r="B6" s="47" t="s">
        <v>55</v>
      </c>
      <c r="C6" s="67">
        <v>7.6946764081734648E-3</v>
      </c>
      <c r="D6" s="67">
        <v>9.7412640090520641E-3</v>
      </c>
      <c r="E6" s="67">
        <v>1.1261797733503926E-2</v>
      </c>
      <c r="F6" s="67">
        <v>1.1544008508969691E-2</v>
      </c>
      <c r="G6" s="67">
        <v>2.4222318639524742E-2</v>
      </c>
      <c r="H6" s="67">
        <v>8.3018803495078022E-3</v>
      </c>
      <c r="I6" s="67">
        <v>2.8115060486178355E-3</v>
      </c>
      <c r="J6" s="67">
        <v>1.0713493197326635E-2</v>
      </c>
      <c r="K6" s="67">
        <v>1.646173776000295E-2</v>
      </c>
      <c r="L6" s="67">
        <v>1.0885973988705899E-2</v>
      </c>
      <c r="M6" s="67">
        <v>9.0992971855983311E-3</v>
      </c>
      <c r="N6" s="67">
        <v>7.442943818898224E-3</v>
      </c>
      <c r="O6" s="67">
        <v>9.109632959083392E-3</v>
      </c>
      <c r="P6" s="67">
        <v>3.378075332587755E-3</v>
      </c>
      <c r="Q6" s="66">
        <v>9.3615198025416065E-3</v>
      </c>
    </row>
    <row r="7" spans="1:17" x14ac:dyDescent="0.35">
      <c r="B7" s="47" t="s">
        <v>56</v>
      </c>
      <c r="C7" s="67">
        <v>1.0816056591239683E-2</v>
      </c>
      <c r="D7" s="67">
        <v>1.9644323143685222E-2</v>
      </c>
      <c r="E7" s="67">
        <v>2.0058728714073194E-2</v>
      </c>
      <c r="F7" s="67">
        <v>3.3061785175731682E-2</v>
      </c>
      <c r="G7" s="67">
        <v>1.5930448312265054E-2</v>
      </c>
      <c r="H7" s="67">
        <v>2.5342024311258805E-2</v>
      </c>
      <c r="I7" s="67">
        <v>4.1447619687940258E-2</v>
      </c>
      <c r="J7" s="67">
        <v>3.1086060997098659E-2</v>
      </c>
      <c r="K7" s="67">
        <v>2.2497176928166392E-2</v>
      </c>
      <c r="L7" s="67">
        <v>3.50473568539326E-2</v>
      </c>
      <c r="M7" s="67">
        <v>2.5381995881625336E-2</v>
      </c>
      <c r="N7" s="67">
        <v>2.7234322966555959E-2</v>
      </c>
      <c r="O7" s="67">
        <v>2.9039581064702023E-2</v>
      </c>
      <c r="P7" s="67">
        <v>1.7487368863609094E-2</v>
      </c>
      <c r="Q7" s="66">
        <v>2.453949994057688E-2</v>
      </c>
    </row>
    <row r="8" spans="1:17" x14ac:dyDescent="0.35">
      <c r="B8" s="47" t="s">
        <v>57</v>
      </c>
      <c r="C8" s="67">
        <v>3.8693782150751699E-2</v>
      </c>
      <c r="D8" s="67">
        <v>0.15815175496488634</v>
      </c>
      <c r="E8" s="67">
        <v>9.51960001889115E-2</v>
      </c>
      <c r="F8" s="67">
        <v>0.14978123704393734</v>
      </c>
      <c r="G8" s="67">
        <v>1.2939311795518861E-3</v>
      </c>
      <c r="H8" s="67">
        <v>0.14241506339184964</v>
      </c>
      <c r="I8" s="67">
        <v>0.15181258463716843</v>
      </c>
      <c r="J8" s="67">
        <v>0.17779334066220226</v>
      </c>
      <c r="K8" s="67">
        <v>2.7750541161639056E-2</v>
      </c>
      <c r="L8" s="67">
        <v>0.14752574202292149</v>
      </c>
      <c r="M8" s="67">
        <v>9.7216554913843095E-2</v>
      </c>
      <c r="N8" s="67">
        <v>0.1840826080968406</v>
      </c>
      <c r="O8" s="67">
        <v>0.16503943215806177</v>
      </c>
      <c r="P8" s="67">
        <v>8.8367106980766455E-2</v>
      </c>
      <c r="Q8" s="66">
        <v>0.14006002305373402</v>
      </c>
    </row>
    <row r="9" spans="1:17" x14ac:dyDescent="0.35">
      <c r="B9" s="47" t="s">
        <v>5</v>
      </c>
      <c r="C9" s="67">
        <v>0.23329092713650293</v>
      </c>
      <c r="D9" s="67">
        <v>0.22803310762748305</v>
      </c>
      <c r="E9" s="67">
        <v>0.22585848665842034</v>
      </c>
      <c r="F9" s="67">
        <v>0.28669910556345574</v>
      </c>
      <c r="G9" s="67">
        <v>0.30639173400912689</v>
      </c>
      <c r="H9" s="67">
        <v>0.20913925160790625</v>
      </c>
      <c r="I9" s="67">
        <v>0.23204606409435788</v>
      </c>
      <c r="J9" s="67">
        <v>0.26190274481637421</v>
      </c>
      <c r="K9" s="67">
        <v>0.3688634709401663</v>
      </c>
      <c r="L9" s="67">
        <v>0.23405329698148283</v>
      </c>
      <c r="M9" s="67">
        <v>0.11273888394423766</v>
      </c>
      <c r="N9" s="67">
        <v>0.21685126943498254</v>
      </c>
      <c r="O9" s="67">
        <v>0.19296405420983209</v>
      </c>
      <c r="P9" s="67">
        <v>0.28468921749340947</v>
      </c>
      <c r="Q9" s="66">
        <v>0.24287543269786241</v>
      </c>
    </row>
    <row r="10" spans="1:17" x14ac:dyDescent="0.35">
      <c r="B10" s="47" t="s">
        <v>58</v>
      </c>
      <c r="C10" s="67">
        <v>7.6150153332852754E-3</v>
      </c>
      <c r="D10" s="67">
        <v>1.3773114498173273E-2</v>
      </c>
      <c r="E10" s="67">
        <v>8.4082008471473273E-3</v>
      </c>
      <c r="F10" s="67">
        <v>1.3411017474904398E-2</v>
      </c>
      <c r="G10" s="67">
        <v>1.4452668645342506E-3</v>
      </c>
      <c r="H10" s="67">
        <v>1.5154231217412299E-2</v>
      </c>
      <c r="I10" s="67">
        <v>2.6158260179618972E-2</v>
      </c>
      <c r="J10" s="67">
        <v>1.6908106408668473E-2</v>
      </c>
      <c r="K10" s="67">
        <v>5.7420874462748451E-3</v>
      </c>
      <c r="L10" s="67">
        <v>2.5628595137228954E-2</v>
      </c>
      <c r="M10" s="67">
        <v>1.3183143805378645E-2</v>
      </c>
      <c r="N10" s="67">
        <v>6.7114613549840892E-3</v>
      </c>
      <c r="O10" s="67">
        <v>4.6112895627963202E-3</v>
      </c>
      <c r="P10" s="67">
        <v>6.2384902124065942E-3</v>
      </c>
      <c r="Q10" s="66">
        <v>1.1963268683713991E-2</v>
      </c>
    </row>
    <row r="11" spans="1:17" x14ac:dyDescent="0.35">
      <c r="B11" s="47" t="s">
        <v>59</v>
      </c>
      <c r="C11" s="67">
        <v>9.2681508762213133E-4</v>
      </c>
      <c r="D11" s="67">
        <v>4.3240027687283081E-4</v>
      </c>
      <c r="E11" s="67">
        <v>1.3738376569341445E-6</v>
      </c>
      <c r="F11" s="67">
        <v>1.0895381884104216E-4</v>
      </c>
      <c r="G11" s="67">
        <v>0</v>
      </c>
      <c r="H11" s="67">
        <v>1.3731790388738752E-3</v>
      </c>
      <c r="I11" s="67">
        <v>3.8364685284483741E-5</v>
      </c>
      <c r="J11" s="67">
        <v>8.2630029331780013E-6</v>
      </c>
      <c r="K11" s="67">
        <v>0</v>
      </c>
      <c r="L11" s="67">
        <v>1.1733579925002749E-4</v>
      </c>
      <c r="M11" s="67">
        <v>0</v>
      </c>
      <c r="N11" s="67">
        <v>2.4737706922505204E-5</v>
      </c>
      <c r="O11" s="67">
        <v>8.9940781363144443E-5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v>0.99999999999999978</v>
      </c>
      <c r="D12" s="49">
        <v>1</v>
      </c>
      <c r="E12" s="49">
        <v>1</v>
      </c>
      <c r="F12" s="49">
        <v>0.99999999999999989</v>
      </c>
      <c r="G12" s="49">
        <v>1</v>
      </c>
      <c r="H12" s="49">
        <v>1</v>
      </c>
      <c r="I12" s="49">
        <v>1</v>
      </c>
      <c r="J12" s="49">
        <v>1</v>
      </c>
      <c r="K12" s="49">
        <v>1</v>
      </c>
      <c r="L12" s="49">
        <v>0.99999999999999989</v>
      </c>
      <c r="M12" s="49">
        <v>1</v>
      </c>
      <c r="N12" s="49">
        <v>1</v>
      </c>
      <c r="O12" s="49">
        <v>1</v>
      </c>
      <c r="P12" s="49">
        <v>1</v>
      </c>
      <c r="Q12" s="49">
        <v>0.99834274369323306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C3" sqref="C3:M12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30 May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113235432</v>
      </c>
      <c r="D3" s="64">
        <v>1751301624</v>
      </c>
      <c r="E3" s="64">
        <v>37970250</v>
      </c>
      <c r="F3" s="64">
        <v>10381573883</v>
      </c>
      <c r="G3" s="64">
        <v>203705358</v>
      </c>
      <c r="H3" s="64">
        <v>3648038106</v>
      </c>
      <c r="I3" s="64">
        <v>41400000</v>
      </c>
      <c r="J3" s="64">
        <v>7730406010</v>
      </c>
      <c r="K3" s="64">
        <v>4430429837</v>
      </c>
      <c r="L3" s="64">
        <v>122770000</v>
      </c>
      <c r="M3" s="20">
        <v>28460830500</v>
      </c>
    </row>
    <row r="4" spans="1:13" x14ac:dyDescent="0.35">
      <c r="B4" s="18" t="s">
        <v>71</v>
      </c>
      <c r="C4" s="64">
        <v>767461421</v>
      </c>
      <c r="D4" s="64">
        <v>3528877237</v>
      </c>
      <c r="E4" s="64">
        <v>129192403</v>
      </c>
      <c r="F4" s="64">
        <v>3115973605</v>
      </c>
      <c r="G4" s="64">
        <v>5179149563.9700003</v>
      </c>
      <c r="H4" s="64">
        <v>5214308201.8899994</v>
      </c>
      <c r="I4" s="64">
        <v>77758668</v>
      </c>
      <c r="J4" s="64">
        <v>10524609090.99</v>
      </c>
      <c r="K4" s="64">
        <v>10625501573.050001</v>
      </c>
      <c r="L4" s="64">
        <v>83150578</v>
      </c>
      <c r="M4" s="20">
        <v>39245982341.900002</v>
      </c>
    </row>
    <row r="5" spans="1:13" x14ac:dyDescent="0.35">
      <c r="B5" s="18" t="s">
        <v>54</v>
      </c>
      <c r="C5" s="64">
        <v>1632457423</v>
      </c>
      <c r="D5" s="64">
        <v>7069906811</v>
      </c>
      <c r="E5" s="64">
        <v>1221809699</v>
      </c>
      <c r="F5" s="64">
        <v>3049639210</v>
      </c>
      <c r="G5" s="64">
        <v>1406837017.8499999</v>
      </c>
      <c r="H5" s="64">
        <v>5279594202</v>
      </c>
      <c r="I5" s="64">
        <v>1051002641</v>
      </c>
      <c r="J5" s="64">
        <v>6504422965</v>
      </c>
      <c r="K5" s="64">
        <v>6634144448</v>
      </c>
      <c r="L5" s="64">
        <v>371255330</v>
      </c>
      <c r="M5" s="20">
        <v>34221069746.849998</v>
      </c>
    </row>
    <row r="6" spans="1:13" x14ac:dyDescent="0.35">
      <c r="B6" s="18" t="s">
        <v>55</v>
      </c>
      <c r="C6" s="64">
        <v>158698126</v>
      </c>
      <c r="D6" s="64">
        <v>1903152834</v>
      </c>
      <c r="E6" s="64">
        <v>484660934</v>
      </c>
      <c r="F6" s="64">
        <v>1907626810</v>
      </c>
      <c r="G6" s="64">
        <v>386072994</v>
      </c>
      <c r="H6" s="64">
        <v>1646774149.45</v>
      </c>
      <c r="I6" s="64">
        <v>420686917</v>
      </c>
      <c r="J6" s="64">
        <v>1540207272</v>
      </c>
      <c r="K6" s="64">
        <v>2809201186.8099999</v>
      </c>
      <c r="L6" s="64">
        <v>581135088</v>
      </c>
      <c r="M6" s="20">
        <v>11838216311.26</v>
      </c>
    </row>
    <row r="7" spans="1:13" x14ac:dyDescent="0.35">
      <c r="B7" s="18" t="s">
        <v>56</v>
      </c>
      <c r="C7" s="64">
        <v>2418103437.75</v>
      </c>
      <c r="D7" s="64">
        <v>6267818201</v>
      </c>
      <c r="E7" s="64">
        <v>746209188</v>
      </c>
      <c r="F7" s="64">
        <v>9130105674</v>
      </c>
      <c r="G7" s="64">
        <v>3024195361.9300003</v>
      </c>
      <c r="H7" s="64">
        <v>11921771455</v>
      </c>
      <c r="I7" s="64">
        <v>1305293982</v>
      </c>
      <c r="J7" s="64">
        <v>16365801868</v>
      </c>
      <c r="K7" s="64">
        <v>20981189003.959999</v>
      </c>
      <c r="L7" s="64">
        <v>1722804665</v>
      </c>
      <c r="M7" s="20">
        <v>73883292836.639999</v>
      </c>
    </row>
    <row r="8" spans="1:13" x14ac:dyDescent="0.35">
      <c r="B8" s="18" t="s">
        <v>57</v>
      </c>
      <c r="C8" s="64">
        <v>19387592590</v>
      </c>
      <c r="D8" s="64">
        <v>34586596478</v>
      </c>
      <c r="E8" s="64">
        <v>1577417967</v>
      </c>
      <c r="F8" s="64">
        <v>44964630765</v>
      </c>
      <c r="G8" s="64">
        <v>23507827306</v>
      </c>
      <c r="H8" s="64">
        <v>59095716245</v>
      </c>
      <c r="I8" s="64">
        <v>7821271000</v>
      </c>
      <c r="J8" s="64">
        <v>54670705862</v>
      </c>
      <c r="K8" s="64">
        <v>62432096723</v>
      </c>
      <c r="L8" s="64">
        <v>4573790982</v>
      </c>
      <c r="M8" s="20">
        <v>312617645918</v>
      </c>
    </row>
    <row r="9" spans="1:13" x14ac:dyDescent="0.35">
      <c r="B9" s="18" t="s">
        <v>5</v>
      </c>
      <c r="C9" s="64">
        <v>6782989095.0200005</v>
      </c>
      <c r="D9" s="64">
        <v>24659247660</v>
      </c>
      <c r="E9" s="64">
        <v>5224105670</v>
      </c>
      <c r="F9" s="64">
        <v>18108492647</v>
      </c>
      <c r="G9" s="64">
        <v>3525240719.25</v>
      </c>
      <c r="H9" s="64">
        <v>8386640594.6599998</v>
      </c>
      <c r="I9" s="64">
        <v>2059752615</v>
      </c>
      <c r="J9" s="64">
        <v>10394508024.01</v>
      </c>
      <c r="K9" s="64">
        <v>9223201780.1800003</v>
      </c>
      <c r="L9" s="64">
        <v>913697188</v>
      </c>
      <c r="M9" s="20">
        <v>89277875993.119995</v>
      </c>
    </row>
    <row r="10" spans="1:13" x14ac:dyDescent="0.35">
      <c r="B10" s="18" t="s">
        <v>58</v>
      </c>
      <c r="C10" s="64">
        <v>646980037.23000002</v>
      </c>
      <c r="D10" s="64">
        <v>1079372686</v>
      </c>
      <c r="E10" s="64">
        <v>88633889</v>
      </c>
      <c r="F10" s="64">
        <v>528300478</v>
      </c>
      <c r="G10" s="64">
        <v>708156678</v>
      </c>
      <c r="H10" s="64">
        <v>1493910883</v>
      </c>
      <c r="I10" s="64">
        <v>40781593</v>
      </c>
      <c r="J10" s="64">
        <v>2415052122</v>
      </c>
      <c r="K10" s="64">
        <v>3123561351</v>
      </c>
      <c r="L10" s="64">
        <v>123323000</v>
      </c>
      <c r="M10" s="20">
        <v>10477472717.23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v>-229100000</v>
      </c>
    </row>
    <row r="12" spans="1:13" x14ac:dyDescent="0.35">
      <c r="A12" s="17"/>
      <c r="B12" s="18"/>
      <c r="C12" s="33">
        <v>31907817562</v>
      </c>
      <c r="D12" s="33">
        <v>80846273531</v>
      </c>
      <c r="E12" s="33">
        <v>9510000000</v>
      </c>
      <c r="F12" s="33">
        <v>91186343072</v>
      </c>
      <c r="G12" s="33">
        <v>37941184999</v>
      </c>
      <c r="H12" s="33">
        <v>96686753837</v>
      </c>
      <c r="I12" s="33">
        <v>12817947416</v>
      </c>
      <c r="J12" s="33">
        <v>110145713213.99998</v>
      </c>
      <c r="K12" s="33">
        <v>120259325903</v>
      </c>
      <c r="L12" s="33">
        <v>8491926831</v>
      </c>
      <c r="M12" s="33">
        <v>599793286365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 t="s">
        <v>88</v>
      </c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C3" sqref="C3:M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30 May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3.5488303698606939E-3</v>
      </c>
      <c r="D3" s="68">
        <v>2.1662119322401103E-2</v>
      </c>
      <c r="E3" s="68">
        <v>3.9926656151419559E-3</v>
      </c>
      <c r="F3" s="68">
        <v>0.11385009567499371</v>
      </c>
      <c r="G3" s="68">
        <v>5.3689772210691097E-3</v>
      </c>
      <c r="H3" s="68">
        <v>3.7730484903341251E-2</v>
      </c>
      <c r="I3" s="68">
        <v>3.2298462972568027E-3</v>
      </c>
      <c r="J3" s="68">
        <v>7.0183448673855717E-2</v>
      </c>
      <c r="K3" s="68">
        <v>3.6840634218867498E-2</v>
      </c>
      <c r="L3" s="68">
        <v>1.4457260695161069E-2</v>
      </c>
      <c r="M3" s="68">
        <v>4.7451065470380006E-2</v>
      </c>
    </row>
    <row r="4" spans="1:13" x14ac:dyDescent="0.35">
      <c r="B4" s="18" t="s">
        <v>71</v>
      </c>
      <c r="C4" s="68">
        <v>2.4052457348696682E-2</v>
      </c>
      <c r="D4" s="68">
        <v>4.3649225658457518E-2</v>
      </c>
      <c r="E4" s="68">
        <v>1.3584900420609884E-2</v>
      </c>
      <c r="F4" s="68">
        <v>3.4171494327167526E-2</v>
      </c>
      <c r="G4" s="68">
        <v>0.13650468650640471</v>
      </c>
      <c r="H4" s="68">
        <v>5.3929912784956825E-2</v>
      </c>
      <c r="I4" s="68">
        <v>6.0663899980536477E-3</v>
      </c>
      <c r="J4" s="68">
        <v>9.5551690427951017E-2</v>
      </c>
      <c r="K4" s="68">
        <v>8.8354907141425576E-2</v>
      </c>
      <c r="L4" s="68">
        <v>9.7917209668430781E-3</v>
      </c>
      <c r="M4" s="68">
        <v>6.5432513557707836E-2</v>
      </c>
    </row>
    <row r="5" spans="1:13" x14ac:dyDescent="0.35">
      <c r="B5" s="18" t="s">
        <v>54</v>
      </c>
      <c r="C5" s="68">
        <v>5.1161675969469744E-2</v>
      </c>
      <c r="D5" s="68">
        <v>8.7448765443580878E-2</v>
      </c>
      <c r="E5" s="68">
        <v>0.12847630904311252</v>
      </c>
      <c r="F5" s="68">
        <v>3.3444034569870065E-2</v>
      </c>
      <c r="G5" s="68">
        <v>3.7079416941961076E-2</v>
      </c>
      <c r="H5" s="68">
        <v>5.4605144887795477E-2</v>
      </c>
      <c r="I5" s="68">
        <v>8.1994613247366441E-2</v>
      </c>
      <c r="J5" s="68">
        <v>5.905289252939587E-2</v>
      </c>
      <c r="K5" s="68">
        <v>5.5165322091951824E-2</v>
      </c>
      <c r="L5" s="68">
        <v>4.3718620919427E-2</v>
      </c>
      <c r="M5" s="68">
        <v>5.7054772910587408E-2</v>
      </c>
    </row>
    <row r="6" spans="1:13" x14ac:dyDescent="0.35">
      <c r="B6" s="18" t="s">
        <v>55</v>
      </c>
      <c r="C6" s="68">
        <v>4.9736440197338493E-3</v>
      </c>
      <c r="D6" s="68">
        <v>2.3540390309644239E-2</v>
      </c>
      <c r="E6" s="68">
        <v>5.0963294847528914E-2</v>
      </c>
      <c r="F6" s="68">
        <v>2.0920093357551944E-2</v>
      </c>
      <c r="G6" s="68">
        <v>1.0175564996459007E-2</v>
      </c>
      <c r="H6" s="68">
        <v>1.7032055417086658E-2</v>
      </c>
      <c r="I6" s="68">
        <v>3.2820146888329224E-2</v>
      </c>
      <c r="J6" s="68">
        <v>1.3983361013855901E-2</v>
      </c>
      <c r="K6" s="68">
        <v>2.335952879925399E-2</v>
      </c>
      <c r="L6" s="68">
        <v>6.8433831280617169E-2</v>
      </c>
      <c r="M6" s="68">
        <v>1.9737160419058004E-2</v>
      </c>
    </row>
    <row r="7" spans="1:13" x14ac:dyDescent="0.35">
      <c r="B7" s="18" t="s">
        <v>56</v>
      </c>
      <c r="C7" s="68">
        <v>7.578404361412025E-2</v>
      </c>
      <c r="D7" s="68">
        <v>7.7527607980553914E-2</v>
      </c>
      <c r="E7" s="68">
        <v>7.8465740063091483E-2</v>
      </c>
      <c r="F7" s="68">
        <v>0.10012580136908157</v>
      </c>
      <c r="G7" s="68">
        <v>7.9707456738889626E-2</v>
      </c>
      <c r="H7" s="68">
        <v>0.12330304805866579</v>
      </c>
      <c r="I7" s="68">
        <v>0.10183330759889583</v>
      </c>
      <c r="J7" s="68">
        <v>0.1485831939387709</v>
      </c>
      <c r="K7" s="68">
        <v>0.17446621163404177</v>
      </c>
      <c r="L7" s="68">
        <v>0.20287558987329668</v>
      </c>
      <c r="M7" s="68">
        <v>0.12318126013781161</v>
      </c>
    </row>
    <row r="8" spans="1:13" x14ac:dyDescent="0.35">
      <c r="B8" s="18" t="s">
        <v>57</v>
      </c>
      <c r="C8" s="68">
        <v>0.60761261883010387</v>
      </c>
      <c r="D8" s="68">
        <v>0.42780693490761806</v>
      </c>
      <c r="E8" s="68">
        <v>0.16586939716088328</v>
      </c>
      <c r="F8" s="68">
        <v>0.49310707338593773</v>
      </c>
      <c r="G8" s="68">
        <v>0.61958600677916587</v>
      </c>
      <c r="H8" s="68">
        <v>0.61120798764872075</v>
      </c>
      <c r="I8" s="68">
        <v>0.61018123621236742</v>
      </c>
      <c r="J8" s="68">
        <v>0.49634892059558722</v>
      </c>
      <c r="K8" s="68">
        <v>0.51914557356954683</v>
      </c>
      <c r="L8" s="68">
        <v>0.53860461506842672</v>
      </c>
      <c r="M8" s="68">
        <v>0.52120897820079759</v>
      </c>
    </row>
    <row r="9" spans="1:13" x14ac:dyDescent="0.35">
      <c r="B9" s="18" t="s">
        <v>5</v>
      </c>
      <c r="C9" s="68">
        <v>0.21258079095632257</v>
      </c>
      <c r="D9" s="68">
        <v>0.30501402950309842</v>
      </c>
      <c r="E9" s="68">
        <v>0.54932762039957939</v>
      </c>
      <c r="F9" s="68">
        <v>0.19858777133656605</v>
      </c>
      <c r="G9" s="68">
        <v>9.2913300397520882E-2</v>
      </c>
      <c r="H9" s="68">
        <v>8.6740326485659797E-2</v>
      </c>
      <c r="I9" s="68">
        <v>0.16069285886045329</v>
      </c>
      <c r="J9" s="68">
        <v>9.4370518113716426E-2</v>
      </c>
      <c r="K9" s="68">
        <v>7.6694274734413065E-2</v>
      </c>
      <c r="L9" s="68">
        <v>0.10759597982692511</v>
      </c>
      <c r="M9" s="68">
        <v>0.14884774141801677</v>
      </c>
    </row>
    <row r="10" spans="1:13" x14ac:dyDescent="0.35">
      <c r="B10" s="18" t="s">
        <v>58</v>
      </c>
      <c r="C10" s="68">
        <v>2.0276536807096089E-2</v>
      </c>
      <c r="D10" s="68">
        <v>1.3350926874645883E-2</v>
      </c>
      <c r="E10" s="68">
        <v>9.3200724500525755E-3</v>
      </c>
      <c r="F10" s="68">
        <v>5.793635978831372E-3</v>
      </c>
      <c r="G10" s="68">
        <v>1.8664590418529747E-2</v>
      </c>
      <c r="H10" s="68">
        <v>1.5451039813773451E-2</v>
      </c>
      <c r="I10" s="68">
        <v>3.1816008972773897E-3</v>
      </c>
      <c r="J10" s="68">
        <v>2.192597470686709E-2</v>
      </c>
      <c r="K10" s="68">
        <v>2.5973547810499403E-2</v>
      </c>
      <c r="L10" s="68">
        <v>1.4522381369303157E-2</v>
      </c>
      <c r="M10" s="68">
        <v>1.7468472814572332E-2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-3.8196492893150327E-4</v>
      </c>
    </row>
    <row r="12" spans="1:13" x14ac:dyDescent="0.35">
      <c r="B12" s="23"/>
      <c r="C12" s="21">
        <v>0.99999999999999989</v>
      </c>
      <c r="D12" s="21">
        <v>1</v>
      </c>
      <c r="E12" s="21">
        <v>1</v>
      </c>
      <c r="F12" s="21">
        <v>1</v>
      </c>
      <c r="G12" s="21">
        <v>1</v>
      </c>
      <c r="H12" s="21">
        <v>1</v>
      </c>
      <c r="I12" s="21">
        <v>1</v>
      </c>
      <c r="J12" s="21">
        <v>1.0000000000000002</v>
      </c>
      <c r="K12" s="21">
        <v>1</v>
      </c>
      <c r="L12" s="21">
        <v>1</v>
      </c>
      <c r="M12" s="21">
        <v>1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workbookViewId="0">
      <selection activeCell="D14" sqref="D14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54296875" style="15" customWidth="1"/>
    <col min="6" max="6" width="15.6328125" style="15" bestFit="1" customWidth="1"/>
    <col min="7" max="7" width="14.6328125" style="15" bestFit="1" customWidth="1"/>
    <col min="8" max="8" width="11" style="15" bestFit="1" customWidth="1"/>
    <col min="9" max="11" width="11.26953125" style="15" bestFit="1" customWidth="1"/>
    <col min="12" max="12" width="11.7265625" style="28" customWidth="1"/>
    <col min="13" max="16384" width="9.1796875" style="28"/>
  </cols>
  <sheetData>
    <row r="1" spans="1:14" x14ac:dyDescent="0.35">
      <c r="A1" s="39" t="str">
        <f>'Fixed rate bond (Values)'!A1</f>
        <v>30 May 2025</v>
      </c>
    </row>
    <row r="2" spans="1:14" x14ac:dyDescent="0.35">
      <c r="A2" s="17"/>
      <c r="B2" s="18" t="s">
        <v>40</v>
      </c>
      <c r="C2" s="18" t="s">
        <v>75</v>
      </c>
      <c r="D2" s="53" t="s">
        <v>79</v>
      </c>
      <c r="E2" s="53" t="s">
        <v>92</v>
      </c>
      <c r="F2" s="53" t="s">
        <v>52</v>
      </c>
      <c r="L2" s="15"/>
      <c r="M2" s="15"/>
    </row>
    <row r="3" spans="1:14" x14ac:dyDescent="0.35">
      <c r="B3" s="18" t="s">
        <v>53</v>
      </c>
      <c r="C3" s="64">
        <v>214814011</v>
      </c>
      <c r="D3" s="64">
        <v>577970000</v>
      </c>
      <c r="E3" s="64">
        <v>80000000</v>
      </c>
      <c r="F3" s="54">
        <v>872784011</v>
      </c>
      <c r="L3" s="15"/>
      <c r="M3" s="15"/>
      <c r="N3" s="50"/>
    </row>
    <row r="4" spans="1:14" x14ac:dyDescent="0.35">
      <c r="B4" s="18" t="s">
        <v>71</v>
      </c>
      <c r="C4" s="64">
        <v>50185000877</v>
      </c>
      <c r="D4" s="64">
        <v>54042891227</v>
      </c>
      <c r="E4" s="64">
        <v>9100000000</v>
      </c>
      <c r="F4" s="54">
        <v>113327892104</v>
      </c>
      <c r="L4" s="15"/>
      <c r="M4" s="15"/>
      <c r="N4" s="50"/>
    </row>
    <row r="5" spans="1:14" x14ac:dyDescent="0.35">
      <c r="B5" s="18" t="s">
        <v>54</v>
      </c>
      <c r="C5" s="64">
        <v>1475440000</v>
      </c>
      <c r="D5" s="64">
        <v>7542623000</v>
      </c>
      <c r="E5" s="64">
        <v>556669000</v>
      </c>
      <c r="F5" s="54">
        <v>9574732000</v>
      </c>
      <c r="L5" s="15"/>
      <c r="M5" s="15"/>
      <c r="N5" s="50"/>
    </row>
    <row r="6" spans="1:14" x14ac:dyDescent="0.35">
      <c r="B6" s="18" t="s">
        <v>55</v>
      </c>
      <c r="C6" s="64">
        <v>1411200000</v>
      </c>
      <c r="D6" s="64">
        <v>657827000</v>
      </c>
      <c r="E6" s="64">
        <v>284476000</v>
      </c>
      <c r="F6" s="54">
        <v>2353503000</v>
      </c>
      <c r="L6" s="15"/>
      <c r="M6" s="15"/>
      <c r="N6" s="50"/>
    </row>
    <row r="7" spans="1:14" x14ac:dyDescent="0.35">
      <c r="B7" s="18" t="s">
        <v>56</v>
      </c>
      <c r="C7" s="64">
        <v>113300000</v>
      </c>
      <c r="D7" s="64">
        <v>970846000</v>
      </c>
      <c r="E7" s="64">
        <v>96800000</v>
      </c>
      <c r="F7" s="54">
        <v>1180946000</v>
      </c>
      <c r="L7" s="15"/>
      <c r="M7" s="15"/>
      <c r="N7" s="50"/>
    </row>
    <row r="8" spans="1:14" x14ac:dyDescent="0.35">
      <c r="B8" s="18" t="s">
        <v>57</v>
      </c>
      <c r="C8" s="64">
        <v>44250000</v>
      </c>
      <c r="D8" s="64">
        <v>483567000</v>
      </c>
      <c r="E8" s="64">
        <v>43000000</v>
      </c>
      <c r="F8" s="54">
        <v>570817000</v>
      </c>
      <c r="L8" s="15"/>
      <c r="M8" s="15"/>
      <c r="N8" s="50"/>
    </row>
    <row r="9" spans="1:14" x14ac:dyDescent="0.35">
      <c r="B9" s="18" t="s">
        <v>5</v>
      </c>
      <c r="C9" s="64">
        <v>17554796509</v>
      </c>
      <c r="D9" s="64">
        <v>47608375773</v>
      </c>
      <c r="E9" s="64">
        <v>13756555000</v>
      </c>
      <c r="F9" s="54">
        <v>78919727282</v>
      </c>
      <c r="L9" s="15"/>
      <c r="M9" s="15"/>
      <c r="N9" s="50"/>
    </row>
    <row r="10" spans="1:14" x14ac:dyDescent="0.35">
      <c r="B10" s="18" t="s">
        <v>58</v>
      </c>
      <c r="C10" s="64">
        <v>76198603</v>
      </c>
      <c r="D10" s="64">
        <v>326500000</v>
      </c>
      <c r="E10" s="64">
        <v>307500000</v>
      </c>
      <c r="F10" s="54">
        <v>710198603</v>
      </c>
      <c r="L10" s="15"/>
      <c r="M10" s="15"/>
      <c r="N10" s="50"/>
    </row>
    <row r="11" spans="1:14" x14ac:dyDescent="0.35">
      <c r="B11" s="19" t="s">
        <v>59</v>
      </c>
      <c r="C11" s="65">
        <v>0</v>
      </c>
      <c r="D11" s="65">
        <v>229400000</v>
      </c>
      <c r="E11" s="65">
        <v>0</v>
      </c>
      <c r="F11" s="54">
        <v>229400000</v>
      </c>
      <c r="L11" s="15"/>
      <c r="M11" s="15"/>
      <c r="N11" s="50"/>
    </row>
    <row r="12" spans="1:14" x14ac:dyDescent="0.35">
      <c r="B12" s="19"/>
      <c r="C12" s="20">
        <v>71075000000</v>
      </c>
      <c r="D12" s="20">
        <v>112440000000</v>
      </c>
      <c r="E12" s="20">
        <v>24225000000</v>
      </c>
      <c r="F12" s="54">
        <v>207740000000</v>
      </c>
      <c r="G12" s="26"/>
      <c r="L12" s="15"/>
      <c r="M12" s="15"/>
    </row>
    <row r="13" spans="1:14" x14ac:dyDescent="0.35">
      <c r="C13" s="30"/>
      <c r="D13" s="30"/>
      <c r="E13" s="30"/>
      <c r="L13" s="15"/>
      <c r="M13" s="15"/>
    </row>
    <row r="17" spans="2:11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1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selection activeCell="E16" sqref="E16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3" width="13.26953125" style="15" customWidth="1"/>
    <col min="4" max="4" width="13.26953125" style="15" bestFit="1" customWidth="1"/>
    <col min="5" max="5" width="13.26953125" style="15" customWidth="1"/>
    <col min="6" max="16384" width="8.7265625" style="15"/>
  </cols>
  <sheetData>
    <row r="1" spans="1:6" ht="14" x14ac:dyDescent="0.3">
      <c r="A1" s="39" t="str">
        <f>'Fixed rate bond (Values)'!A1</f>
        <v>30 May 2025</v>
      </c>
    </row>
    <row r="3" spans="1:6" ht="13" x14ac:dyDescent="0.3">
      <c r="B3" s="18" t="s">
        <v>40</v>
      </c>
      <c r="C3" s="22" t="s">
        <v>75</v>
      </c>
      <c r="D3" s="43" t="s">
        <v>79</v>
      </c>
      <c r="E3" s="43" t="s">
        <v>92</v>
      </c>
      <c r="F3" s="43" t="s">
        <v>70</v>
      </c>
    </row>
    <row r="4" spans="1:6" ht="13" x14ac:dyDescent="0.3">
      <c r="B4" s="18" t="s">
        <v>53</v>
      </c>
      <c r="C4" s="67">
        <v>3.0223568202602884E-3</v>
      </c>
      <c r="D4" s="70">
        <v>5.1402525791533265E-3</v>
      </c>
      <c r="E4" s="70">
        <v>3.3023735810113518E-3</v>
      </c>
      <c r="F4" s="69">
        <v>4.2013286367574851E-3</v>
      </c>
    </row>
    <row r="5" spans="1:6" ht="13" x14ac:dyDescent="0.3">
      <c r="B5" s="18" t="s">
        <v>71</v>
      </c>
      <c r="C5" s="67">
        <v>0.70608513368976433</v>
      </c>
      <c r="D5" s="70">
        <v>0.48063759540199219</v>
      </c>
      <c r="E5" s="70">
        <v>0.37564499484004127</v>
      </c>
      <c r="F5" s="69">
        <v>0.54552754454606722</v>
      </c>
    </row>
    <row r="6" spans="1:6" ht="13" x14ac:dyDescent="0.3">
      <c r="B6" s="18" t="s">
        <v>54</v>
      </c>
      <c r="C6" s="67">
        <v>2.0758916637354907E-2</v>
      </c>
      <c r="D6" s="70">
        <v>6.7081314478833157E-2</v>
      </c>
      <c r="E6" s="70">
        <v>2.2979112487100103E-2</v>
      </c>
      <c r="F6" s="69">
        <v>4.6089977856936554E-2</v>
      </c>
    </row>
    <row r="7" spans="1:6" ht="13" x14ac:dyDescent="0.3">
      <c r="B7" s="18" t="s">
        <v>55</v>
      </c>
      <c r="C7" s="67">
        <v>1.9855082659162856E-2</v>
      </c>
      <c r="D7" s="70">
        <v>5.8504713625044469E-3</v>
      </c>
      <c r="E7" s="70">
        <v>1.1743075335397316E-2</v>
      </c>
      <c r="F7" s="69">
        <v>1.1329079618754212E-2</v>
      </c>
    </row>
    <row r="8" spans="1:6" ht="13" x14ac:dyDescent="0.3">
      <c r="B8" s="18" t="s">
        <v>56</v>
      </c>
      <c r="C8" s="67">
        <v>1.5940907492085826E-3</v>
      </c>
      <c r="D8" s="70">
        <v>8.6343472073995026E-3</v>
      </c>
      <c r="E8" s="70">
        <v>3.9958720330237358E-3</v>
      </c>
      <c r="F8" s="69">
        <v>5.6847309136420525E-3</v>
      </c>
    </row>
    <row r="9" spans="1:6" ht="13" x14ac:dyDescent="0.3">
      <c r="B9" s="18" t="s">
        <v>57</v>
      </c>
      <c r="C9" s="67">
        <v>6.2258177981005982E-4</v>
      </c>
      <c r="D9" s="70">
        <v>4.3006670224119527E-3</v>
      </c>
      <c r="E9" s="70">
        <v>1.7750257997936017E-3</v>
      </c>
      <c r="F9" s="69">
        <v>2.747747183979975E-3</v>
      </c>
    </row>
    <row r="10" spans="1:6" ht="13" x14ac:dyDescent="0.3">
      <c r="B10" s="18" t="s">
        <v>5</v>
      </c>
      <c r="C10" s="67">
        <v>0.24698975039043264</v>
      </c>
      <c r="D10" s="70">
        <v>0.42341138183030952</v>
      </c>
      <c r="E10" s="70">
        <v>0.56786604747162017</v>
      </c>
      <c r="F10" s="69">
        <v>0.37989663657456435</v>
      </c>
    </row>
    <row r="11" spans="1:6" ht="13" x14ac:dyDescent="0.3">
      <c r="B11" s="18" t="s">
        <v>58</v>
      </c>
      <c r="C11" s="67">
        <v>1.0720872740063313E-3</v>
      </c>
      <c r="D11" s="70">
        <v>2.9037709000355747E-3</v>
      </c>
      <c r="E11" s="70">
        <v>1.2693498452012383E-2</v>
      </c>
      <c r="F11" s="69">
        <v>3.418689722730336E-3</v>
      </c>
    </row>
    <row r="12" spans="1:6" ht="13" x14ac:dyDescent="0.3">
      <c r="B12" s="18" t="s">
        <v>59</v>
      </c>
      <c r="C12" s="67">
        <v>0</v>
      </c>
      <c r="D12" s="70">
        <v>2.0401992173603701E-3</v>
      </c>
      <c r="E12" s="70">
        <v>0</v>
      </c>
      <c r="F12" s="69">
        <v>1.1042649465678252E-3</v>
      </c>
    </row>
    <row r="13" spans="1:6" ht="13" x14ac:dyDescent="0.3">
      <c r="B13" s="23"/>
      <c r="C13" s="21">
        <v>1</v>
      </c>
      <c r="D13" s="21">
        <v>1</v>
      </c>
      <c r="E13" s="21">
        <v>1</v>
      </c>
      <c r="F13" s="21"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G12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30 May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v>15601785000</v>
      </c>
    </row>
    <row r="5" spans="1:7" x14ac:dyDescent="0.35">
      <c r="B5" s="18" t="s">
        <v>54</v>
      </c>
      <c r="C5" s="64">
        <v>28500000</v>
      </c>
      <c r="D5" s="64">
        <v>30345000</v>
      </c>
      <c r="E5" s="64">
        <v>30700000</v>
      </c>
      <c r="F5" s="64">
        <v>0</v>
      </c>
      <c r="G5" s="53">
        <v>89545000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v>19189549</v>
      </c>
    </row>
    <row r="8" spans="1:7" x14ac:dyDescent="0.35">
      <c r="B8" s="18" t="s">
        <v>57</v>
      </c>
      <c r="C8" s="64">
        <v>35000000</v>
      </c>
      <c r="D8" s="64">
        <v>0</v>
      </c>
      <c r="E8" s="64">
        <v>97000000</v>
      </c>
      <c r="F8" s="64">
        <v>138000000</v>
      </c>
      <c r="G8" s="53">
        <v>270000000</v>
      </c>
    </row>
    <row r="9" spans="1:7" x14ac:dyDescent="0.35">
      <c r="B9" s="18" t="s">
        <v>5</v>
      </c>
      <c r="C9" s="64">
        <v>1562715000</v>
      </c>
      <c r="D9" s="64">
        <v>917016618</v>
      </c>
      <c r="E9" s="64">
        <v>1096617910</v>
      </c>
      <c r="F9" s="64">
        <v>783000000</v>
      </c>
      <c r="G9" s="53">
        <v>4359349528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v>0</v>
      </c>
    </row>
    <row r="12" spans="1:7" x14ac:dyDescent="0.35">
      <c r="B12" s="19"/>
      <c r="C12" s="20">
        <v>7490000000</v>
      </c>
      <c r="D12" s="20">
        <v>8866000000</v>
      </c>
      <c r="E12" s="20">
        <v>2479000000</v>
      </c>
      <c r="F12" s="20">
        <v>1551000000</v>
      </c>
      <c r="G12" s="20"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tabSelected="1" workbookViewId="0">
      <selection activeCell="E15" sqref="E15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30 May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3.4226257613354386E-3</v>
      </c>
      <c r="E5" s="67">
        <v>1.2384025816861637E-2</v>
      </c>
      <c r="F5" s="67">
        <v>0</v>
      </c>
      <c r="G5" s="69">
        <v>4.3924752280977142E-3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0</v>
      </c>
      <c r="E8" s="67">
        <v>3.9128680919725697E-2</v>
      </c>
      <c r="F8" s="67">
        <v>8.8974854932301742E-2</v>
      </c>
      <c r="G8" s="69">
        <v>1.3244383400372805E-2</v>
      </c>
    </row>
    <row r="9" spans="1:7" x14ac:dyDescent="0.35">
      <c r="B9" s="18" t="s">
        <v>5</v>
      </c>
      <c r="C9" s="67">
        <v>0.20864018691588784</v>
      </c>
      <c r="D9" s="67">
        <v>0.10343070358673584</v>
      </c>
      <c r="E9" s="67">
        <v>0.44236301331181926</v>
      </c>
      <c r="F9" s="67">
        <v>0.50483558994197297</v>
      </c>
      <c r="G9" s="69">
        <v>0.21384035750024527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Malerato Phokane</cp:lastModifiedBy>
  <dcterms:created xsi:type="dcterms:W3CDTF">2016-03-09T09:54:02Z</dcterms:created>
  <dcterms:modified xsi:type="dcterms:W3CDTF">2025-06-03T07:22:35Z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