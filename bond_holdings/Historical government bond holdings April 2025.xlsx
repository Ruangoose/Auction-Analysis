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atreasury-my.sharepoint.com/personal/david_milne_treasury_gov_za/Documents/HDrive/DIM online/Investor Relations Website/Holdings/2025/April/"/>
    </mc:Choice>
  </mc:AlternateContent>
  <xr:revisionPtr revIDLastSave="0" documentId="8_{D60C6B85-7F26-47ED-BACF-64E06511A4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7" l="1"/>
  <c r="E12" i="6"/>
  <c r="Q12" i="3"/>
  <c r="F12" i="3"/>
  <c r="G12" i="3"/>
  <c r="H12" i="3"/>
  <c r="I12" i="3"/>
  <c r="J12" i="3"/>
  <c r="K12" i="3"/>
  <c r="L12" i="3"/>
  <c r="M12" i="3"/>
  <c r="N12" i="3"/>
  <c r="O12" i="3"/>
  <c r="P12" i="3"/>
  <c r="Q3" i="2"/>
  <c r="Q4" i="2"/>
  <c r="Q5" i="2"/>
  <c r="Q6" i="2"/>
  <c r="Q7" i="2"/>
  <c r="Q8" i="2"/>
  <c r="Q9" i="2"/>
  <c r="Q10" i="2"/>
  <c r="Q11" i="2"/>
  <c r="K12" i="2"/>
  <c r="G12" i="2"/>
  <c r="D12" i="9"/>
  <c r="E12" i="9"/>
  <c r="F12" i="9"/>
  <c r="G12" i="9"/>
  <c r="C12" i="9"/>
  <c r="D12" i="8"/>
  <c r="E12" i="8"/>
  <c r="F12" i="8"/>
  <c r="C12" i="8"/>
  <c r="D13" i="7"/>
  <c r="F13" i="7"/>
  <c r="C13" i="7"/>
  <c r="D12" i="6"/>
  <c r="C12" i="6"/>
  <c r="C12" i="5"/>
  <c r="D12" i="5"/>
  <c r="E12" i="5"/>
  <c r="F12" i="5"/>
  <c r="G12" i="5"/>
  <c r="H12" i="5"/>
  <c r="I12" i="5"/>
  <c r="J12" i="5"/>
  <c r="K12" i="5"/>
  <c r="L12" i="5"/>
  <c r="M12" i="5"/>
  <c r="C12" i="4"/>
  <c r="D12" i="4"/>
  <c r="E12" i="4"/>
  <c r="F12" i="4"/>
  <c r="G12" i="4"/>
  <c r="H12" i="4"/>
  <c r="I12" i="4"/>
  <c r="J12" i="4"/>
  <c r="K12" i="4"/>
  <c r="L12" i="4"/>
  <c r="D12" i="3"/>
  <c r="E12" i="3"/>
  <c r="C12" i="3"/>
  <c r="D12" i="2"/>
  <c r="E12" i="2"/>
  <c r="F12" i="2"/>
  <c r="H12" i="2"/>
  <c r="I12" i="2"/>
  <c r="J12" i="2"/>
  <c r="L12" i="2"/>
  <c r="M12" i="2"/>
  <c r="N12" i="2"/>
  <c r="O12" i="2"/>
  <c r="P12" i="2"/>
  <c r="C12" i="2"/>
  <c r="A1" i="4"/>
  <c r="A1" i="5"/>
  <c r="A1" i="6"/>
  <c r="A1" i="7"/>
  <c r="A1" i="8" s="1"/>
  <c r="A1" i="9" s="1"/>
  <c r="A1" i="3"/>
  <c r="F12" i="6" l="1"/>
  <c r="M12" i="4"/>
  <c r="G12" i="8"/>
  <c r="Q12" i="2"/>
</calcChain>
</file>

<file path=xl/sharedStrings.xml><?xml version="1.0" encoding="utf-8"?>
<sst xmlns="http://schemas.openxmlformats.org/spreadsheetml/2006/main" count="347" uniqueCount="94">
  <si>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</si>
  <si>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</si>
  <si>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</si>
  <si>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</si>
  <si>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</si>
  <si>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</si>
  <si>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</si>
  <si>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</si>
  <si>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</si>
  <si>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</si>
  <si>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</si>
  <si>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</si>
  <si>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</si>
  <si>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</si>
  <si>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</si>
  <si>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</si>
  <si>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</si>
  <si>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</si>
  <si>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</si>
  <si>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</si>
  <si>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</si>
  <si>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</si>
  <si>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</si>
  <si>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</si>
  <si>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</si>
  <si>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</si>
  <si>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</si>
  <si>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</si>
  <si>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</si>
  <si>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</si>
  <si>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</si>
  <si>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</si>
  <si>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</si>
  <si>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</si>
  <si>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</si>
  <si>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</si>
  <si>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</si>
  <si>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</si>
  <si>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</si>
  <si>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</si>
  <si>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</si>
  <si>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</si>
  <si>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</si>
  <si>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</si>
  <si>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</si>
  <si>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</si>
  <si>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</si>
  <si>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</si>
  <si>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</si>
  <si>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</si>
  <si>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</si>
  <si>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</si>
  <si>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</si>
  <si>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</si>
  <si>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</si>
  <si>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</si>
  <si>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</si>
  <si>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</si>
  <si>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</si>
  <si>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</si>
  <si>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</si>
  <si>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</si>
  <si>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</si>
  <si>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</si>
  <si>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</si>
  <si>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</si>
  <si>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</si>
  <si>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</si>
  <si>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</si>
  <si>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</si>
  <si>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</si>
  <si>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</si>
  <si>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</si>
  <si>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</si>
  <si>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</si>
  <si>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</si>
  <si>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</si>
  <si>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</si>
  <si>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</si>
  <si>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</si>
  <si>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</si>
  <si>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</si>
  <si>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</si>
  <si>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</si>
  <si>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</si>
  <si>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</si>
  <si>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</si>
  <si>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</si>
  <si>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</si>
  <si>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R2033 (2033)</t>
  </si>
  <si>
    <t>R2038 (2038)</t>
  </si>
  <si>
    <t>2025</t>
  </si>
  <si>
    <t>RN2032 (2032)</t>
  </si>
  <si>
    <t>25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</si>
</sst>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&quot;R&quot;\ #,##0;[Red]&quot;R&quot;\ \-#,##0"/>
    <numFmt numFmtId="166" formatCode="_ * #,##0.00_ ;_ * \-#,##0.00_ ;_ * &quot;-&quot;??_ ;_ @_ "/>
    <numFmt numFmtId="167" formatCode="0.0%"/>
    <numFmt numFmtId="168" formatCode="_ * #,##0_ ;_ * \-#,##0_ ;_ * &quot;-&quot;??_ ;_ @_ "/>
    <numFmt numFmtId="169" formatCode="0.0"/>
    <numFmt numFmtId="170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6" fontId="4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4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7" fontId="2" fillId="24" borderId="0" xfId="0" applyNumberFormat="1" applyFont="1" applyFill="1" applyAlignment="1">
      <alignment horizontal="center"/>
    </xf>
    <xf numFmtId="167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7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7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8" fontId="3" fillId="0" borderId="10" xfId="55" applyNumberFormat="1" applyFont="1" applyBorder="1"/>
    <xf numFmtId="9" fontId="3" fillId="0" borderId="10" xfId="55" applyNumberFormat="1" applyFont="1" applyBorder="1"/>
    <xf numFmtId="165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7" fontId="0" fillId="0" borderId="0" xfId="0" applyNumberFormat="1"/>
    <xf numFmtId="168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8" fontId="3" fillId="0" borderId="10" xfId="31" applyNumberFormat="1" applyFont="1" applyBorder="1" applyAlignment="1">
      <alignment horizontal="center"/>
    </xf>
    <xf numFmtId="0" fontId="4" fillId="0" borderId="0" xfId="54"/>
    <xf numFmtId="168" fontId="3" fillId="0" borderId="11" xfId="55" applyNumberFormat="1" applyFont="1" applyBorder="1"/>
    <xf numFmtId="168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9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5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8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8" fontId="0" fillId="0" borderId="0" xfId="0" applyNumberFormat="1"/>
    <xf numFmtId="10" fontId="0" fillId="0" borderId="0" xfId="0" applyNumberFormat="1"/>
    <xf numFmtId="168" fontId="3" fillId="0" borderId="10" xfId="31" applyNumberFormat="1" applyFont="1" applyBorder="1"/>
    <xf numFmtId="168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8" fontId="2" fillId="0" borderId="10" xfId="31" applyNumberFormat="1" applyBorder="1"/>
    <xf numFmtId="168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2" fillId="24" borderId="20" xfId="0" applyFont="1" applyFill="1" applyBorder="1" applyAlignment="1">
      <alignment horizontal="center"/>
    </xf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"/>
  <sheetViews>
    <sheetView tabSelected="1" workbookViewId="0">
      <pane ySplit="1" topLeftCell="A158" activePane="bottomLeft" state="frozen"/>
      <selection pane="bottomLeft" activeCell="J175" sqref="J175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67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68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69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72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73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74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76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83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1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1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1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1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1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1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1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1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1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1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1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  <row r="172" spans="1:8" x14ac:dyDescent="0.35">
      <c r="A172" s="55" t="s">
        <v>91</v>
      </c>
      <c r="B172" s="14" t="s">
        <v>39</v>
      </c>
      <c r="C172" s="9">
        <v>0.2470125184059844</v>
      </c>
      <c r="D172" s="9">
        <v>0.20699893827494958</v>
      </c>
      <c r="E172" s="9">
        <v>7.7243474489960329E-2</v>
      </c>
      <c r="F172" s="9">
        <v>0.22615384302323935</v>
      </c>
      <c r="G172" s="9">
        <v>0.23026693038894089</v>
      </c>
      <c r="H172" s="9">
        <v>1.2324295416925424E-2</v>
      </c>
    </row>
    <row r="173" spans="1:8" x14ac:dyDescent="0.35">
      <c r="B173" s="5" t="s">
        <v>33</v>
      </c>
      <c r="C173" s="6">
        <v>0.24882917300870791</v>
      </c>
      <c r="D173" s="6">
        <v>0.21349703181359758</v>
      </c>
      <c r="E173" s="6">
        <v>7.7325684259202845E-2</v>
      </c>
      <c r="F173" s="6">
        <v>0.22795156463244262</v>
      </c>
      <c r="G173" s="6">
        <v>0.21995464735706677</v>
      </c>
      <c r="H173" s="6">
        <v>1.244189892898223E-2</v>
      </c>
    </row>
    <row r="174" spans="1:8" x14ac:dyDescent="0.35">
      <c r="B174" s="5" t="s">
        <v>25</v>
      </c>
      <c r="C174" s="6">
        <v>0.24967919710360006</v>
      </c>
      <c r="D174" s="6">
        <v>0.20907337375814286</v>
      </c>
      <c r="E174" s="6">
        <v>7.4513025232185226E-2</v>
      </c>
      <c r="F174" s="6">
        <v>0.22662729818045299</v>
      </c>
      <c r="G174" s="6">
        <v>0.22744254956886656</v>
      </c>
      <c r="H174" s="6">
        <v>1.2664556156752263E-2</v>
      </c>
    </row>
    <row r="175" spans="1:8" x14ac:dyDescent="0.35">
      <c r="B175" s="5" t="s">
        <v>26</v>
      </c>
      <c r="C175" s="6">
        <v>0.24815537147471178</v>
      </c>
      <c r="D175" s="6">
        <v>0.20809436744644191</v>
      </c>
      <c r="E175" s="6">
        <v>7.3592781641961022E-2</v>
      </c>
      <c r="F175" s="6">
        <v>0.22641543582422868</v>
      </c>
      <c r="G175" s="6">
        <v>0.23080133851982673</v>
      </c>
      <c r="H175" s="6">
        <v>1.2940705092829814E-2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 A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59" workbookViewId="0">
      <selection activeCell="L30" sqref="L30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453125" style="15" bestFit="1" customWidth="1"/>
    <col min="7" max="7" width="15.36328125" style="15" bestFit="1" customWidth="1"/>
    <col min="8" max="8" width="16.1796875" style="15" customWidth="1"/>
    <col min="9" max="10" width="16.453125" style="15" bestFit="1" customWidth="1"/>
    <col min="11" max="11" width="15.36328125" style="15" bestFit="1" customWidth="1"/>
    <col min="12" max="12" width="16.453125" style="15" bestFit="1" customWidth="1"/>
    <col min="13" max="13" width="15.36328125" style="15" bestFit="1" customWidth="1"/>
    <col min="14" max="14" width="16.453125" style="15" bestFit="1" customWidth="1"/>
    <col min="15" max="15" width="20.54296875" style="15" bestFit="1" customWidth="1"/>
    <col min="16" max="16" width="15.36328125" bestFit="1" customWidth="1"/>
    <col min="17" max="17" width="18" bestFit="1" customWidth="1"/>
    <col min="18" max="18" width="20.54296875" bestFit="1" customWidth="1"/>
  </cols>
  <sheetData>
    <row r="1" spans="1:18" x14ac:dyDescent="0.35">
      <c r="A1" s="39" t="s">
        <v>93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89</v>
      </c>
      <c r="H2" s="41" t="s">
        <v>45</v>
      </c>
      <c r="I2" s="41" t="s">
        <v>46</v>
      </c>
      <c r="J2" s="41" t="s">
        <v>47</v>
      </c>
      <c r="K2" s="41" t="s">
        <v>90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77</v>
      </c>
      <c r="Q2" s="53" t="s">
        <v>52</v>
      </c>
    </row>
    <row r="3" spans="1:18" x14ac:dyDescent="0.35">
      <c r="B3" s="18" t="s">
        <v>53</v>
      </c>
      <c r="C3" s="64">
        <v>91186108608.949997</v>
      </c>
      <c r="D3" s="64">
        <v>87138842368.48999</v>
      </c>
      <c r="E3" s="64">
        <v>66370524500</v>
      </c>
      <c r="F3" s="64">
        <v>74741959983</v>
      </c>
      <c r="G3" s="64">
        <v>6312072640</v>
      </c>
      <c r="H3" s="64">
        <v>146168919297</v>
      </c>
      <c r="I3" s="64">
        <v>38916843424.32</v>
      </c>
      <c r="J3" s="64">
        <v>101505816110</v>
      </c>
      <c r="K3" s="64">
        <v>5911418669</v>
      </c>
      <c r="L3" s="64">
        <v>106748469839</v>
      </c>
      <c r="M3" s="64">
        <v>48315378532</v>
      </c>
      <c r="N3" s="64">
        <v>77013434701</v>
      </c>
      <c r="O3" s="64">
        <v>109407601338</v>
      </c>
      <c r="P3" s="64">
        <v>19241318787</v>
      </c>
      <c r="Q3" s="54">
        <f>SUM(C3:P3)</f>
        <v>978978708797.76001</v>
      </c>
      <c r="R3" s="51"/>
    </row>
    <row r="4" spans="1:18" x14ac:dyDescent="0.35">
      <c r="B4" s="18" t="s">
        <v>71</v>
      </c>
      <c r="C4" s="64">
        <v>117486089101.64999</v>
      </c>
      <c r="D4" s="64">
        <v>83737149736.529999</v>
      </c>
      <c r="E4" s="64">
        <v>52932042856</v>
      </c>
      <c r="F4" s="64">
        <v>93308938727.199997</v>
      </c>
      <c r="G4" s="64">
        <v>8810011255</v>
      </c>
      <c r="H4" s="64">
        <v>50544459333.800003</v>
      </c>
      <c r="I4" s="64">
        <v>13435124974</v>
      </c>
      <c r="J4" s="64">
        <v>44868773642.690002</v>
      </c>
      <c r="K4" s="64">
        <v>7773299709</v>
      </c>
      <c r="L4" s="64">
        <v>25386420943</v>
      </c>
      <c r="M4" s="64">
        <v>7144847375</v>
      </c>
      <c r="N4" s="64">
        <v>40968229033.099998</v>
      </c>
      <c r="O4" s="64">
        <v>111702238929.58</v>
      </c>
      <c r="P4" s="64">
        <v>13714423524</v>
      </c>
      <c r="Q4" s="54">
        <f t="shared" ref="Q4:Q11" si="0">SUM(C4:P4)</f>
        <v>671812049140.54993</v>
      </c>
    </row>
    <row r="5" spans="1:18" x14ac:dyDescent="0.35">
      <c r="B5" s="18" t="s">
        <v>54</v>
      </c>
      <c r="C5" s="64">
        <v>14511617325.9</v>
      </c>
      <c r="D5" s="64">
        <v>19561327240</v>
      </c>
      <c r="E5" s="64">
        <v>10298584716</v>
      </c>
      <c r="F5" s="64">
        <v>13450133545</v>
      </c>
      <c r="G5" s="64">
        <v>702581470</v>
      </c>
      <c r="H5" s="64">
        <v>12197984505</v>
      </c>
      <c r="I5" s="64">
        <v>8069178890</v>
      </c>
      <c r="J5" s="64">
        <v>18891479472.75</v>
      </c>
      <c r="K5" s="64">
        <v>3040007733</v>
      </c>
      <c r="L5" s="64">
        <v>25637560907</v>
      </c>
      <c r="M5" s="64">
        <v>10300251614</v>
      </c>
      <c r="N5" s="64">
        <v>25657154587</v>
      </c>
      <c r="O5" s="64">
        <v>38793357178</v>
      </c>
      <c r="P5" s="64">
        <v>12779938835</v>
      </c>
      <c r="Q5" s="54">
        <f t="shared" si="0"/>
        <v>213891158018.64999</v>
      </c>
    </row>
    <row r="6" spans="1:18" x14ac:dyDescent="0.35">
      <c r="B6" s="18" t="s">
        <v>55</v>
      </c>
      <c r="C6" s="64">
        <v>2265873588</v>
      </c>
      <c r="D6" s="64">
        <v>3615992956</v>
      </c>
      <c r="E6" s="64">
        <v>2460170060</v>
      </c>
      <c r="F6" s="64">
        <v>3820705669</v>
      </c>
      <c r="G6" s="64">
        <v>655500000</v>
      </c>
      <c r="H6" s="64">
        <v>2548336777</v>
      </c>
      <c r="I6" s="64">
        <v>278843796</v>
      </c>
      <c r="J6" s="64">
        <v>3538344730</v>
      </c>
      <c r="K6" s="64">
        <v>536837310</v>
      </c>
      <c r="L6" s="64">
        <v>3356644781</v>
      </c>
      <c r="M6" s="64">
        <v>869801576</v>
      </c>
      <c r="N6" s="64">
        <v>3221314073</v>
      </c>
      <c r="O6" s="64">
        <v>4326512926</v>
      </c>
      <c r="P6" s="64">
        <v>274285060</v>
      </c>
      <c r="Q6" s="54">
        <f t="shared" si="0"/>
        <v>31769163302</v>
      </c>
    </row>
    <row r="7" spans="1:18" x14ac:dyDescent="0.35">
      <c r="B7" s="18" t="s">
        <v>56</v>
      </c>
      <c r="C7" s="64">
        <v>3385321614.73</v>
      </c>
      <c r="D7" s="64">
        <v>4921182016</v>
      </c>
      <c r="E7" s="64">
        <v>4354814489</v>
      </c>
      <c r="F7" s="64">
        <v>10624411412</v>
      </c>
      <c r="G7" s="64">
        <v>451623072</v>
      </c>
      <c r="H7" s="64">
        <v>8907662459</v>
      </c>
      <c r="I7" s="64">
        <v>4127098609</v>
      </c>
      <c r="J7" s="64">
        <v>10179454940</v>
      </c>
      <c r="K7" s="64">
        <v>749660000</v>
      </c>
      <c r="L7" s="64">
        <v>10238250593</v>
      </c>
      <c r="M7" s="64">
        <v>2889739001</v>
      </c>
      <c r="N7" s="64">
        <v>8214909702</v>
      </c>
      <c r="O7" s="64">
        <v>12983821932</v>
      </c>
      <c r="P7" s="64">
        <v>1482167129</v>
      </c>
      <c r="Q7" s="54">
        <f t="shared" si="0"/>
        <v>83510116968.729996</v>
      </c>
    </row>
    <row r="8" spans="1:18" x14ac:dyDescent="0.35">
      <c r="B8" s="18" t="s">
        <v>57</v>
      </c>
      <c r="C8" s="64">
        <v>12858161283.51</v>
      </c>
      <c r="D8" s="64">
        <v>53010496199</v>
      </c>
      <c r="E8" s="64">
        <v>20637892083</v>
      </c>
      <c r="F8" s="64">
        <v>51212248718</v>
      </c>
      <c r="G8" s="64">
        <v>29460574</v>
      </c>
      <c r="H8" s="64">
        <v>51460616708</v>
      </c>
      <c r="I8" s="64">
        <v>15817719522</v>
      </c>
      <c r="J8" s="64">
        <v>60046882467</v>
      </c>
      <c r="K8" s="64">
        <v>901900000</v>
      </c>
      <c r="L8" s="64">
        <v>43521938527</v>
      </c>
      <c r="M8" s="64">
        <v>9277970386</v>
      </c>
      <c r="N8" s="64">
        <v>52068327771</v>
      </c>
      <c r="O8" s="64">
        <v>71410592870</v>
      </c>
      <c r="P8" s="64">
        <v>7152313923</v>
      </c>
      <c r="Q8" s="54">
        <f t="shared" si="0"/>
        <v>449406521031.51001</v>
      </c>
    </row>
    <row r="9" spans="1:18" x14ac:dyDescent="0.35">
      <c r="B9" s="18" t="s">
        <v>5</v>
      </c>
      <c r="C9" s="64">
        <v>78593436293.699997</v>
      </c>
      <c r="D9" s="64">
        <v>90949356038.979996</v>
      </c>
      <c r="E9" s="64">
        <v>59744078945</v>
      </c>
      <c r="F9" s="64">
        <v>88744086728</v>
      </c>
      <c r="G9" s="64">
        <v>8731731973</v>
      </c>
      <c r="H9" s="64">
        <v>77395733248.199997</v>
      </c>
      <c r="I9" s="64">
        <v>20871370963.68</v>
      </c>
      <c r="J9" s="64">
        <v>87820495825.25</v>
      </c>
      <c r="K9" s="64">
        <v>12031177938</v>
      </c>
      <c r="L9" s="64">
        <v>66708026228</v>
      </c>
      <c r="M9" s="64">
        <v>13348141802</v>
      </c>
      <c r="N9" s="64">
        <v>70363358555</v>
      </c>
      <c r="O9" s="64">
        <v>81994293708.419998</v>
      </c>
      <c r="P9" s="64">
        <v>21837334931</v>
      </c>
      <c r="Q9" s="54">
        <f t="shared" si="0"/>
        <v>779132623178.2301</v>
      </c>
    </row>
    <row r="10" spans="1:18" x14ac:dyDescent="0.35">
      <c r="B10" s="18" t="s">
        <v>58</v>
      </c>
      <c r="C10" s="64">
        <v>2959072091.4499998</v>
      </c>
      <c r="D10" s="64">
        <v>5144112294</v>
      </c>
      <c r="E10" s="64">
        <v>1378753855</v>
      </c>
      <c r="F10" s="64">
        <v>3749010579.8000002</v>
      </c>
      <c r="G10" s="64">
        <v>47019016</v>
      </c>
      <c r="H10" s="64">
        <v>5349939668</v>
      </c>
      <c r="I10" s="64">
        <v>2742371966</v>
      </c>
      <c r="J10" s="64">
        <v>5635937835.3099995</v>
      </c>
      <c r="K10" s="64">
        <v>189534776</v>
      </c>
      <c r="L10" s="64">
        <v>7448880158</v>
      </c>
      <c r="M10" s="64">
        <v>1235726210</v>
      </c>
      <c r="N10" s="64">
        <v>2201342787.9000001</v>
      </c>
      <c r="O10" s="64">
        <v>1687228954</v>
      </c>
      <c r="P10" s="64">
        <v>818727002</v>
      </c>
      <c r="Q10" s="54">
        <f t="shared" si="0"/>
        <v>40587657193.459999</v>
      </c>
    </row>
    <row r="11" spans="1:18" x14ac:dyDescent="0.35">
      <c r="A11" s="17"/>
      <c r="B11" s="19" t="s">
        <v>59</v>
      </c>
      <c r="C11" s="65">
        <v>284076331</v>
      </c>
      <c r="D11" s="65">
        <v>155201182</v>
      </c>
      <c r="E11" s="65">
        <v>299740</v>
      </c>
      <c r="F11" s="65">
        <v>38995589</v>
      </c>
      <c r="G11" s="65">
        <v>0</v>
      </c>
      <c r="H11" s="65">
        <v>435644442</v>
      </c>
      <c r="I11" s="65">
        <v>4000000</v>
      </c>
      <c r="J11" s="65">
        <v>2774683</v>
      </c>
      <c r="K11" s="65">
        <v>0</v>
      </c>
      <c r="L11" s="65">
        <v>54618732</v>
      </c>
      <c r="M11" s="65">
        <v>0</v>
      </c>
      <c r="N11" s="65">
        <v>6880000</v>
      </c>
      <c r="O11" s="65">
        <v>0</v>
      </c>
      <c r="P11" s="65">
        <v>0</v>
      </c>
      <c r="Q11" s="54">
        <f t="shared" si="0"/>
        <v>982490699</v>
      </c>
    </row>
    <row r="12" spans="1:18" x14ac:dyDescent="0.35">
      <c r="B12" s="19"/>
      <c r="C12" s="20">
        <f>SUM(C3:C11)</f>
        <v>323529756238.89001</v>
      </c>
      <c r="D12" s="20">
        <f t="shared" ref="D12:P12" si="1">SUM(D3:D11)</f>
        <v>348233660031</v>
      </c>
      <c r="E12" s="20">
        <f t="shared" si="1"/>
        <v>218177161244</v>
      </c>
      <c r="F12" s="20">
        <f t="shared" si="1"/>
        <v>339690490951</v>
      </c>
      <c r="G12" s="20">
        <f t="shared" si="1"/>
        <v>25740000000</v>
      </c>
      <c r="H12" s="20">
        <f t="shared" si="1"/>
        <v>355009296438</v>
      </c>
      <c r="I12" s="20">
        <f t="shared" si="1"/>
        <v>104262552145</v>
      </c>
      <c r="J12" s="20">
        <f t="shared" si="1"/>
        <v>332489959706</v>
      </c>
      <c r="K12" s="20">
        <f t="shared" si="1"/>
        <v>31133836135</v>
      </c>
      <c r="L12" s="20">
        <f t="shared" si="1"/>
        <v>289100810708</v>
      </c>
      <c r="M12" s="20">
        <f t="shared" si="1"/>
        <v>93381856496</v>
      </c>
      <c r="N12" s="20">
        <f t="shared" si="1"/>
        <v>279714951210</v>
      </c>
      <c r="O12" s="20">
        <f t="shared" si="1"/>
        <v>432305647836</v>
      </c>
      <c r="P12" s="20">
        <f t="shared" si="1"/>
        <v>77300509191</v>
      </c>
      <c r="Q12" s="20">
        <f>SUM(Q3:Q11)</f>
        <v>3250070488329.8901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opLeftCell="B1" zoomScale="74" workbookViewId="0">
      <selection activeCell="F17" sqref="F17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25 April 2025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89</v>
      </c>
      <c r="H2" s="45" t="s">
        <v>45</v>
      </c>
      <c r="I2" s="45" t="s">
        <v>46</v>
      </c>
      <c r="J2" s="45" t="s">
        <v>47</v>
      </c>
      <c r="K2" s="45" t="s">
        <v>90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77</v>
      </c>
      <c r="Q2" s="45" t="s">
        <v>70</v>
      </c>
    </row>
    <row r="3" spans="1:17" x14ac:dyDescent="0.35">
      <c r="B3" s="46" t="s">
        <v>53</v>
      </c>
      <c r="C3" s="67">
        <v>0.28184767196999155</v>
      </c>
      <c r="D3" s="67">
        <v>0.25023095803183654</v>
      </c>
      <c r="E3" s="67">
        <v>0.30420473032818518</v>
      </c>
      <c r="F3" s="67">
        <v>0.22002959156658128</v>
      </c>
      <c r="G3" s="67">
        <v>0.24522426728826729</v>
      </c>
      <c r="H3" s="67">
        <v>0.41173265253499475</v>
      </c>
      <c r="I3" s="67">
        <v>0.37325811255989183</v>
      </c>
      <c r="J3" s="67">
        <v>0.305289868601612</v>
      </c>
      <c r="K3" s="67">
        <v>0.18987119490728316</v>
      </c>
      <c r="L3" s="67">
        <v>0.36924306638080989</v>
      </c>
      <c r="M3" s="67">
        <v>0.51739578056117985</v>
      </c>
      <c r="N3" s="67">
        <v>0.27532827390117254</v>
      </c>
      <c r="O3" s="67">
        <v>0.25307927825061632</v>
      </c>
      <c r="P3" s="67">
        <v>0.24891580907257779</v>
      </c>
      <c r="Q3" s="67">
        <v>0.30121768506652502</v>
      </c>
    </row>
    <row r="4" spans="1:17" x14ac:dyDescent="0.35">
      <c r="B4" s="47" t="s">
        <v>71</v>
      </c>
      <c r="C4" s="67">
        <v>0.36313843421221464</v>
      </c>
      <c r="D4" s="67">
        <v>0.24046253808168819</v>
      </c>
      <c r="E4" s="67">
        <v>0.24261037477155123</v>
      </c>
      <c r="F4" s="67">
        <v>0.27468810936088206</v>
      </c>
      <c r="G4" s="67">
        <v>0.34226927952602954</v>
      </c>
      <c r="H4" s="67">
        <v>0.14237503029058637</v>
      </c>
      <c r="I4" s="67">
        <v>0.12885858534630446</v>
      </c>
      <c r="J4" s="67">
        <v>0.13494775506112919</v>
      </c>
      <c r="K4" s="67">
        <v>0.24967368862911887</v>
      </c>
      <c r="L4" s="67">
        <v>8.781165601310266E-2</v>
      </c>
      <c r="M4" s="67">
        <v>7.6512158176101894E-2</v>
      </c>
      <c r="N4" s="67">
        <v>0.14646420885218436</v>
      </c>
      <c r="O4" s="67">
        <v>0.25838718390270832</v>
      </c>
      <c r="P4" s="67">
        <v>0.17741698816127272</v>
      </c>
      <c r="Q4" s="66">
        <v>0.20413961563726857</v>
      </c>
    </row>
    <row r="5" spans="1:17" x14ac:dyDescent="0.35">
      <c r="B5" s="47" t="s">
        <v>54</v>
      </c>
      <c r="C5" s="67">
        <v>4.4854042158597666E-2</v>
      </c>
      <c r="D5" s="67">
        <v>5.6172993840568536E-2</v>
      </c>
      <c r="E5" s="67">
        <v>4.720285412680067E-2</v>
      </c>
      <c r="F5" s="67">
        <v>3.95952606955376E-2</v>
      </c>
      <c r="G5" s="67">
        <v>2.7295317404817405E-2</v>
      </c>
      <c r="H5" s="67">
        <v>3.4359619951896937E-2</v>
      </c>
      <c r="I5" s="67">
        <v>7.7392877154762452E-2</v>
      </c>
      <c r="J5" s="67">
        <v>5.6818195320708482E-2</v>
      </c>
      <c r="K5" s="67">
        <v>9.7643211065227123E-2</v>
      </c>
      <c r="L5" s="67">
        <v>8.8680349405504302E-2</v>
      </c>
      <c r="M5" s="67">
        <v>0.11030249344465763</v>
      </c>
      <c r="N5" s="67">
        <v>9.1726074977442035E-2</v>
      </c>
      <c r="O5" s="67">
        <v>8.9735948101045154E-2</v>
      </c>
      <c r="P5" s="67">
        <v>0.16532800325315258</v>
      </c>
      <c r="Q5" s="66">
        <v>6.7218271418500272E-2</v>
      </c>
    </row>
    <row r="6" spans="1:17" x14ac:dyDescent="0.35">
      <c r="B6" s="47" t="s">
        <v>55</v>
      </c>
      <c r="C6" s="67">
        <v>7.0036018149962978E-3</v>
      </c>
      <c r="D6" s="67">
        <v>1.0383812281897453E-2</v>
      </c>
      <c r="E6" s="67">
        <v>1.1276020120404129E-2</v>
      </c>
      <c r="F6" s="67">
        <v>1.1247608545954656E-2</v>
      </c>
      <c r="G6" s="67">
        <v>2.5466200466200465E-2</v>
      </c>
      <c r="H6" s="67">
        <v>7.1782254790757286E-3</v>
      </c>
      <c r="I6" s="67">
        <v>2.6744386192676965E-3</v>
      </c>
      <c r="J6" s="67">
        <v>1.0641959634296134E-2</v>
      </c>
      <c r="K6" s="67">
        <v>1.7242889943668037E-2</v>
      </c>
      <c r="L6" s="67">
        <v>1.1610637731453152E-2</v>
      </c>
      <c r="M6" s="67">
        <v>9.314460095760228E-3</v>
      </c>
      <c r="N6" s="67">
        <v>1.1516417192091932E-2</v>
      </c>
      <c r="O6" s="67">
        <v>1.0007995379327802E-2</v>
      </c>
      <c r="P6" s="67">
        <v>3.5482956434643338E-3</v>
      </c>
      <c r="Q6" s="66">
        <v>9.3615198025416065E-3</v>
      </c>
    </row>
    <row r="7" spans="1:17" x14ac:dyDescent="0.35">
      <c r="B7" s="47" t="s">
        <v>56</v>
      </c>
      <c r="C7" s="67">
        <v>1.0463710213506061E-2</v>
      </c>
      <c r="D7" s="67">
        <v>1.4131838994432397E-2</v>
      </c>
      <c r="E7" s="67">
        <v>1.9959992439950038E-2</v>
      </c>
      <c r="F7" s="67">
        <v>3.1276740724345331E-2</v>
      </c>
      <c r="G7" s="67">
        <v>1.7545573892773891E-2</v>
      </c>
      <c r="H7" s="67">
        <v>2.5091349855835856E-2</v>
      </c>
      <c r="I7" s="67">
        <v>3.9583709818078905E-2</v>
      </c>
      <c r="J7" s="67">
        <v>3.0615826562104469E-2</v>
      </c>
      <c r="K7" s="67">
        <v>2.4078626120770517E-2</v>
      </c>
      <c r="L7" s="67">
        <v>3.5414119275303323E-2</v>
      </c>
      <c r="M7" s="67">
        <v>3.094540106004191E-2</v>
      </c>
      <c r="N7" s="67">
        <v>2.9368861644555207E-2</v>
      </c>
      <c r="O7" s="67">
        <v>3.0033893836440367E-2</v>
      </c>
      <c r="P7" s="67">
        <v>1.9174092700188407E-2</v>
      </c>
      <c r="Q7" s="66">
        <v>2.453949994057688E-2</v>
      </c>
    </row>
    <row r="8" spans="1:17" x14ac:dyDescent="0.35">
      <c r="B8" s="47" t="s">
        <v>57</v>
      </c>
      <c r="C8" s="67">
        <v>3.9743365287289702E-2</v>
      </c>
      <c r="D8" s="67">
        <v>0.15222680137893899</v>
      </c>
      <c r="E8" s="67">
        <v>9.4592357721253253E-2</v>
      </c>
      <c r="F8" s="67">
        <v>0.15076150225643883</v>
      </c>
      <c r="G8" s="67">
        <v>1.1445444444444445E-3</v>
      </c>
      <c r="H8" s="67">
        <v>0.14495568770827175</v>
      </c>
      <c r="I8" s="67">
        <v>0.15171045784494114</v>
      </c>
      <c r="J8" s="67">
        <v>0.18059758111221069</v>
      </c>
      <c r="K8" s="67">
        <v>2.8968482910016448E-2</v>
      </c>
      <c r="L8" s="67">
        <v>0.15054242988947683</v>
      </c>
      <c r="M8" s="67">
        <v>9.935517170187573E-2</v>
      </c>
      <c r="N8" s="67">
        <v>0.1861478177900793</v>
      </c>
      <c r="O8" s="67">
        <v>0.1651854266245682</v>
      </c>
      <c r="P8" s="67">
        <v>9.2526090679784748E-2</v>
      </c>
      <c r="Q8" s="66">
        <v>0.14006002305373402</v>
      </c>
    </row>
    <row r="9" spans="1:17" x14ac:dyDescent="0.35">
      <c r="B9" s="47" t="s">
        <v>5</v>
      </c>
      <c r="C9" s="67">
        <v>0.24292490807450695</v>
      </c>
      <c r="D9" s="67">
        <v>0.26117336282450015</v>
      </c>
      <c r="E9" s="67">
        <v>0.27383287326845718</v>
      </c>
      <c r="F9" s="67">
        <v>0.26124984093476211</v>
      </c>
      <c r="G9" s="67">
        <v>0.33922812637917638</v>
      </c>
      <c r="H9" s="67">
        <v>0.21801044092296509</v>
      </c>
      <c r="I9" s="67">
        <v>0.20018089461932381</v>
      </c>
      <c r="J9" s="67">
        <v>0.26412976771660762</v>
      </c>
      <c r="K9" s="67">
        <v>0.38643416396975266</v>
      </c>
      <c r="L9" s="67">
        <v>0.23074313096747762</v>
      </c>
      <c r="M9" s="67">
        <v>0.14294149102263529</v>
      </c>
      <c r="N9" s="67">
        <v>0.25155379878915984</v>
      </c>
      <c r="O9" s="67">
        <v>0.18966741267170642</v>
      </c>
      <c r="P9" s="67">
        <v>0.28249923783868802</v>
      </c>
      <c r="Q9" s="66">
        <v>0.24287543269786241</v>
      </c>
    </row>
    <row r="10" spans="1:17" x14ac:dyDescent="0.35">
      <c r="B10" s="47" t="s">
        <v>58</v>
      </c>
      <c r="C10" s="67">
        <v>9.1462130897940058E-3</v>
      </c>
      <c r="D10" s="67">
        <v>1.4772013404856003E-2</v>
      </c>
      <c r="E10" s="67">
        <v>6.3194233857413731E-3</v>
      </c>
      <c r="F10" s="67">
        <v>1.1036548504211121E-2</v>
      </c>
      <c r="G10" s="67">
        <v>1.8266905982905982E-3</v>
      </c>
      <c r="H10" s="67">
        <v>1.5069857949295509E-2</v>
      </c>
      <c r="I10" s="67">
        <v>2.6302559352145236E-2</v>
      </c>
      <c r="J10" s="67">
        <v>1.6950700828059606E-2</v>
      </c>
      <c r="K10" s="67">
        <v>6.0877424541632055E-3</v>
      </c>
      <c r="L10" s="67">
        <v>2.5765684087007211E-2</v>
      </c>
      <c r="M10" s="67">
        <v>1.3233043937747503E-2</v>
      </c>
      <c r="N10" s="67">
        <v>7.8699503847662056E-3</v>
      </c>
      <c r="O10" s="67">
        <v>3.9028612335873744E-3</v>
      </c>
      <c r="P10" s="67">
        <v>1.0591482650871379E-2</v>
      </c>
      <c r="Q10" s="66">
        <v>1.1963268683713991E-2</v>
      </c>
    </row>
    <row r="11" spans="1:17" x14ac:dyDescent="0.35">
      <c r="B11" s="47" t="s">
        <v>59</v>
      </c>
      <c r="C11" s="67">
        <v>8.7805317910307412E-4</v>
      </c>
      <c r="D11" s="67">
        <v>4.4568116128172069E-4</v>
      </c>
      <c r="E11" s="67">
        <v>1.3738376569341445E-6</v>
      </c>
      <c r="F11" s="67">
        <v>1.1479741128704445E-4</v>
      </c>
      <c r="G11" s="67">
        <v>0</v>
      </c>
      <c r="H11" s="67">
        <v>1.2271353070780287E-3</v>
      </c>
      <c r="I11" s="67">
        <v>3.8364685284483741E-5</v>
      </c>
      <c r="J11" s="67">
        <v>8.3451632718578263E-6</v>
      </c>
      <c r="K11" s="67">
        <v>0</v>
      </c>
      <c r="L11" s="67">
        <v>1.8892624986502189E-4</v>
      </c>
      <c r="M11" s="67">
        <v>0</v>
      </c>
      <c r="N11" s="67">
        <v>2.4596468548564432E-5</v>
      </c>
      <c r="O11" s="67">
        <v>0</v>
      </c>
      <c r="P11" s="67">
        <v>0</v>
      </c>
      <c r="Q11" s="66">
        <v>5.2413722571827408E-4</v>
      </c>
    </row>
    <row r="12" spans="1:17" ht="15" thickBot="1" x14ac:dyDescent="0.4">
      <c r="A12" s="17"/>
      <c r="B12" s="48"/>
      <c r="C12" s="49">
        <f>SUM(C3:C11)</f>
        <v>0.99999999999999989</v>
      </c>
      <c r="D12" s="49">
        <f t="shared" ref="D12:P12" si="0">SUM(D3:D11)</f>
        <v>1</v>
      </c>
      <c r="E12" s="49">
        <f t="shared" si="0"/>
        <v>1</v>
      </c>
      <c r="F12" s="49">
        <f t="shared" si="0"/>
        <v>1</v>
      </c>
      <c r="G12" s="49">
        <f t="shared" si="0"/>
        <v>0.99999999999999989</v>
      </c>
      <c r="H12" s="49">
        <f t="shared" si="0"/>
        <v>1</v>
      </c>
      <c r="I12" s="49">
        <f t="shared" si="0"/>
        <v>1</v>
      </c>
      <c r="J12" s="49">
        <f t="shared" si="0"/>
        <v>1</v>
      </c>
      <c r="K12" s="49">
        <f t="shared" si="0"/>
        <v>1</v>
      </c>
      <c r="L12" s="49">
        <f t="shared" si="0"/>
        <v>1</v>
      </c>
      <c r="M12" s="49">
        <f t="shared" si="0"/>
        <v>1</v>
      </c>
      <c r="N12" s="49">
        <f t="shared" si="0"/>
        <v>1</v>
      </c>
      <c r="O12" s="49">
        <f t="shared" si="0"/>
        <v>1</v>
      </c>
      <c r="P12" s="49">
        <f t="shared" si="0"/>
        <v>1</v>
      </c>
      <c r="Q12" s="49">
        <f>SUM(Q3:Q11)</f>
        <v>1.0018994535264409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59" workbookViewId="0">
      <selection activeCell="D18" sqref="D18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3" width="17.7265625" style="15" bestFit="1" customWidth="1"/>
    <col min="4" max="4" width="16.54296875" style="15" bestFit="1" customWidth="1"/>
    <col min="5" max="8" width="17.7265625" style="15" bestFit="1" customWidth="1"/>
    <col min="9" max="9" width="17.7265625" style="15" customWidth="1"/>
    <col min="10" max="10" width="18.7265625" style="15" bestFit="1" customWidth="1"/>
    <col min="11" max="12" width="18.81640625" style="28" customWidth="1"/>
    <col min="13" max="13" width="20.81640625" style="28" customWidth="1"/>
    <col min="14" max="16384" width="9.1796875" style="28"/>
  </cols>
  <sheetData>
    <row r="1" spans="1:13" x14ac:dyDescent="0.35">
      <c r="A1" s="39" t="str">
        <f>'Fixed rate bond (Values)'!A1</f>
        <v>25 April 2025</v>
      </c>
      <c r="C1" s="32"/>
      <c r="D1" s="32"/>
      <c r="E1" s="32"/>
      <c r="F1" s="32"/>
      <c r="G1" s="32"/>
      <c r="H1" s="32"/>
      <c r="I1" s="32"/>
    </row>
    <row r="2" spans="1:13" x14ac:dyDescent="0.35">
      <c r="A2" s="17"/>
      <c r="B2" s="18" t="s">
        <v>40</v>
      </c>
      <c r="C2" s="40" t="s">
        <v>60</v>
      </c>
      <c r="D2" s="40" t="s">
        <v>66</v>
      </c>
      <c r="E2" s="40" t="s">
        <v>78</v>
      </c>
      <c r="F2" s="40" t="s">
        <v>61</v>
      </c>
      <c r="G2" s="40" t="s">
        <v>62</v>
      </c>
      <c r="H2" s="40" t="s">
        <v>63</v>
      </c>
      <c r="I2" s="40" t="s">
        <v>80</v>
      </c>
      <c r="J2" s="40" t="s">
        <v>64</v>
      </c>
      <c r="K2" s="22" t="s">
        <v>65</v>
      </c>
      <c r="L2" s="22" t="s">
        <v>81</v>
      </c>
      <c r="M2" s="22" t="s">
        <v>82</v>
      </c>
    </row>
    <row r="3" spans="1:13" x14ac:dyDescent="0.35">
      <c r="B3" s="18" t="s">
        <v>53</v>
      </c>
      <c r="C3" s="64">
        <v>125435432</v>
      </c>
      <c r="D3" s="64">
        <v>1789601624</v>
      </c>
      <c r="E3" s="64">
        <v>38470250</v>
      </c>
      <c r="F3" s="64">
        <v>10280073883</v>
      </c>
      <c r="G3" s="64">
        <v>202705358</v>
      </c>
      <c r="H3" s="64">
        <v>3644438106</v>
      </c>
      <c r="I3" s="64">
        <v>36400000</v>
      </c>
      <c r="J3" s="64">
        <v>7666303010</v>
      </c>
      <c r="K3" s="64">
        <v>4427829837</v>
      </c>
      <c r="L3" s="64">
        <v>72770000</v>
      </c>
      <c r="M3" s="20">
        <v>28284027500</v>
      </c>
    </row>
    <row r="4" spans="1:13" x14ac:dyDescent="0.35">
      <c r="B4" s="18" t="s">
        <v>71</v>
      </c>
      <c r="C4" s="64">
        <v>1723605250</v>
      </c>
      <c r="D4" s="64">
        <v>3960324759</v>
      </c>
      <c r="E4" s="64">
        <v>136499525</v>
      </c>
      <c r="F4" s="64">
        <v>4025309109</v>
      </c>
      <c r="G4" s="64">
        <v>5149566554.9700003</v>
      </c>
      <c r="H4" s="64">
        <v>7581848008.8899994</v>
      </c>
      <c r="I4" s="64">
        <v>67983752</v>
      </c>
      <c r="J4" s="64">
        <v>12049788322.99</v>
      </c>
      <c r="K4" s="64">
        <v>13145815445.51</v>
      </c>
      <c r="L4" s="64">
        <v>131503359</v>
      </c>
      <c r="M4" s="20">
        <v>47972244086.360001</v>
      </c>
    </row>
    <row r="5" spans="1:13" x14ac:dyDescent="0.35">
      <c r="B5" s="18" t="s">
        <v>54</v>
      </c>
      <c r="C5" s="64">
        <v>1730410604</v>
      </c>
      <c r="D5" s="64">
        <v>3471142246</v>
      </c>
      <c r="E5" s="64">
        <v>1144995899</v>
      </c>
      <c r="F5" s="64">
        <v>3156726557</v>
      </c>
      <c r="G5" s="64">
        <v>1404418494.8499999</v>
      </c>
      <c r="H5" s="64">
        <v>4262827981</v>
      </c>
      <c r="I5" s="64">
        <v>1121335991</v>
      </c>
      <c r="J5" s="64">
        <v>6436500435</v>
      </c>
      <c r="K5" s="64">
        <v>7269175412</v>
      </c>
      <c r="L5" s="64">
        <v>308917430</v>
      </c>
      <c r="M5" s="20">
        <v>30306451049.849998</v>
      </c>
    </row>
    <row r="6" spans="1:13" x14ac:dyDescent="0.35">
      <c r="B6" s="18" t="s">
        <v>55</v>
      </c>
      <c r="C6" s="64">
        <v>165406340</v>
      </c>
      <c r="D6" s="64">
        <v>1973819526</v>
      </c>
      <c r="E6" s="64">
        <v>455938603</v>
      </c>
      <c r="F6" s="64">
        <v>1899198530</v>
      </c>
      <c r="G6" s="64">
        <v>402483447</v>
      </c>
      <c r="H6" s="64">
        <v>1641238003.0999999</v>
      </c>
      <c r="I6" s="64">
        <v>280685217</v>
      </c>
      <c r="J6" s="64">
        <v>1570439992</v>
      </c>
      <c r="K6" s="64">
        <v>2862584899.8099999</v>
      </c>
      <c r="L6" s="64">
        <v>416746788</v>
      </c>
      <c r="M6" s="20">
        <v>11668541345.91</v>
      </c>
    </row>
    <row r="7" spans="1:13" x14ac:dyDescent="0.35">
      <c r="B7" s="18" t="s">
        <v>56</v>
      </c>
      <c r="C7" s="64">
        <v>2339469802.75</v>
      </c>
      <c r="D7" s="64">
        <v>6144231625</v>
      </c>
      <c r="E7" s="64">
        <v>693771619</v>
      </c>
      <c r="F7" s="64">
        <v>9252346174</v>
      </c>
      <c r="G7" s="64">
        <v>2994407194.9300003</v>
      </c>
      <c r="H7" s="64">
        <v>11370830319</v>
      </c>
      <c r="I7" s="64">
        <v>1336113442</v>
      </c>
      <c r="J7" s="64">
        <v>16850623441</v>
      </c>
      <c r="K7" s="64">
        <v>20991336072.139999</v>
      </c>
      <c r="L7" s="64">
        <v>1570587621</v>
      </c>
      <c r="M7" s="20">
        <v>73543717310.820007</v>
      </c>
    </row>
    <row r="8" spans="1:13" x14ac:dyDescent="0.35">
      <c r="B8" s="18" t="s">
        <v>57</v>
      </c>
      <c r="C8" s="64">
        <v>19374412305</v>
      </c>
      <c r="D8" s="64">
        <v>35272490822</v>
      </c>
      <c r="E8" s="64">
        <v>1575352967</v>
      </c>
      <c r="F8" s="64">
        <v>44581804765</v>
      </c>
      <c r="G8" s="64">
        <v>23517606034</v>
      </c>
      <c r="H8" s="64">
        <v>58677585245</v>
      </c>
      <c r="I8" s="64">
        <v>7821286000</v>
      </c>
      <c r="J8" s="64">
        <v>53904773862</v>
      </c>
      <c r="K8" s="64">
        <v>62444351168</v>
      </c>
      <c r="L8" s="64">
        <v>4358790982</v>
      </c>
      <c r="M8" s="20">
        <v>311528454150</v>
      </c>
    </row>
    <row r="9" spans="1:13" x14ac:dyDescent="0.35">
      <c r="B9" s="18" t="s">
        <v>5</v>
      </c>
      <c r="C9" s="64">
        <v>5997220213.0200005</v>
      </c>
      <c r="D9" s="64">
        <v>26757722441</v>
      </c>
      <c r="E9" s="64">
        <v>5133427248</v>
      </c>
      <c r="F9" s="64">
        <v>16208565103</v>
      </c>
      <c r="G9" s="64">
        <v>3612593352.25</v>
      </c>
      <c r="H9" s="64">
        <v>7581798291.0100002</v>
      </c>
      <c r="I9" s="64">
        <v>1889079392</v>
      </c>
      <c r="J9" s="64">
        <v>8368317029.0100002</v>
      </c>
      <c r="K9" s="64">
        <v>6072970679.54</v>
      </c>
      <c r="L9" s="64">
        <v>544287651</v>
      </c>
      <c r="M9" s="20">
        <v>82165981399.830002</v>
      </c>
    </row>
    <row r="10" spans="1:13" x14ac:dyDescent="0.35">
      <c r="B10" s="18" t="s">
        <v>58</v>
      </c>
      <c r="C10" s="64">
        <v>451557615.23000002</v>
      </c>
      <c r="D10" s="64">
        <v>1476940488</v>
      </c>
      <c r="E10" s="64">
        <v>81543889</v>
      </c>
      <c r="F10" s="64">
        <v>502318951</v>
      </c>
      <c r="G10" s="64">
        <v>657404563</v>
      </c>
      <c r="H10" s="64">
        <v>1456187883</v>
      </c>
      <c r="I10" s="64">
        <v>40063622</v>
      </c>
      <c r="J10" s="64">
        <v>2618967122</v>
      </c>
      <c r="K10" s="64">
        <v>3005262389</v>
      </c>
      <c r="L10" s="64">
        <v>93323000</v>
      </c>
      <c r="M10" s="20">
        <v>10612969522.23</v>
      </c>
    </row>
    <row r="11" spans="1:13" x14ac:dyDescent="0.35">
      <c r="B11" s="18" t="s">
        <v>59</v>
      </c>
      <c r="C11" s="65">
        <v>300000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20">
        <v>-229100000</v>
      </c>
    </row>
    <row r="12" spans="1:13" x14ac:dyDescent="0.35">
      <c r="A12" s="17"/>
      <c r="B12" s="18"/>
      <c r="C12" s="33">
        <f t="shared" ref="C12:M12" si="0">SUM(C3:C11)</f>
        <v>31907817562</v>
      </c>
      <c r="D12" s="33">
        <f t="shared" si="0"/>
        <v>80846273531</v>
      </c>
      <c r="E12" s="33">
        <f t="shared" si="0"/>
        <v>9260000000</v>
      </c>
      <c r="F12" s="33">
        <f t="shared" si="0"/>
        <v>89906343072</v>
      </c>
      <c r="G12" s="33">
        <f t="shared" si="0"/>
        <v>37941184999</v>
      </c>
      <c r="H12" s="33">
        <f t="shared" si="0"/>
        <v>96216753836.999985</v>
      </c>
      <c r="I12" s="33">
        <f t="shared" si="0"/>
        <v>12592947416</v>
      </c>
      <c r="J12" s="33">
        <f t="shared" si="0"/>
        <v>109465713213.99998</v>
      </c>
      <c r="K12" s="33">
        <f t="shared" si="0"/>
        <v>120219325903</v>
      </c>
      <c r="L12" s="33">
        <f t="shared" si="0"/>
        <v>7496926831</v>
      </c>
      <c r="M12" s="33">
        <f t="shared" si="0"/>
        <v>595853286365</v>
      </c>
    </row>
    <row r="13" spans="1:13" x14ac:dyDescent="0.35">
      <c r="C13" s="26"/>
      <c r="D13" s="26"/>
      <c r="E13" s="26"/>
      <c r="F13" s="26"/>
      <c r="G13" s="26"/>
      <c r="H13" s="26"/>
      <c r="I13" s="26"/>
      <c r="J13" s="26"/>
      <c r="K13" s="42"/>
      <c r="L13" s="42"/>
    </row>
    <row r="14" spans="1:13" x14ac:dyDescent="0.35">
      <c r="C14" s="34"/>
      <c r="D14" s="34"/>
      <c r="E14" s="34"/>
      <c r="F14" s="34"/>
      <c r="G14" s="34"/>
      <c r="H14" s="34"/>
      <c r="I14" s="34"/>
      <c r="J14" s="34"/>
      <c r="K14" s="42"/>
      <c r="L14" s="42"/>
    </row>
    <row r="15" spans="1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3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3:12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3:12" x14ac:dyDescent="0.35">
      <c r="C19" s="26"/>
      <c r="D19" s="26"/>
      <c r="E19" s="26"/>
      <c r="F19" s="26"/>
      <c r="G19" s="26"/>
      <c r="H19" s="26"/>
      <c r="I19" s="26"/>
      <c r="J19" s="26"/>
      <c r="K19" s="26" t="s">
        <v>88</v>
      </c>
      <c r="L19" s="26"/>
    </row>
    <row r="20" spans="3:12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3:12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3:12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3:12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3:12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85" zoomScaleNormal="73" workbookViewId="0">
      <selection activeCell="C3" sqref="C3:L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" style="15" customWidth="1"/>
    <col min="5" max="5" width="11" style="15" bestFit="1" customWidth="1"/>
    <col min="6" max="8" width="11.26953125" style="15" bestFit="1" customWidth="1"/>
    <col min="9" max="9" width="11.26953125" style="15" customWidth="1"/>
    <col min="10" max="10" width="11.7265625" style="28" customWidth="1"/>
    <col min="11" max="12" width="11.08984375" style="28" bestFit="1" customWidth="1"/>
    <col min="13" max="16384" width="9.1796875" style="28"/>
  </cols>
  <sheetData>
    <row r="1" spans="1:13" x14ac:dyDescent="0.35">
      <c r="A1" s="39" t="str">
        <f>'Fixed rate bond (Values)'!A1</f>
        <v>25 April 2025</v>
      </c>
    </row>
    <row r="2" spans="1:13" x14ac:dyDescent="0.35">
      <c r="A2" s="17"/>
      <c r="B2" s="18"/>
      <c r="C2" s="22" t="s">
        <v>60</v>
      </c>
      <c r="D2" s="22" t="s">
        <v>66</v>
      </c>
      <c r="E2" s="22" t="s">
        <v>78</v>
      </c>
      <c r="F2" s="22" t="s">
        <v>61</v>
      </c>
      <c r="G2" s="22" t="s">
        <v>62</v>
      </c>
      <c r="H2" s="22" t="s">
        <v>63</v>
      </c>
      <c r="I2" s="22" t="s">
        <v>80</v>
      </c>
      <c r="J2" s="22" t="s">
        <v>64</v>
      </c>
      <c r="K2" s="43" t="s">
        <v>65</v>
      </c>
      <c r="L2" s="43" t="s">
        <v>81</v>
      </c>
      <c r="M2" s="43" t="s">
        <v>70</v>
      </c>
    </row>
    <row r="3" spans="1:13" x14ac:dyDescent="0.35">
      <c r="B3" s="18" t="s">
        <v>53</v>
      </c>
      <c r="C3" s="68">
        <v>3.9311818101086587E-3</v>
      </c>
      <c r="D3" s="68">
        <v>2.2135857916985975E-2</v>
      </c>
      <c r="E3" s="68">
        <v>4.15445464362851E-3</v>
      </c>
      <c r="F3" s="68">
        <v>0.11434203118201987</v>
      </c>
      <c r="G3" s="68">
        <v>5.3426206378462517E-3</v>
      </c>
      <c r="H3" s="68">
        <v>3.7877375411916443E-2</v>
      </c>
      <c r="I3" s="68">
        <v>2.8905067890422453E-3</v>
      </c>
      <c r="J3" s="68">
        <v>7.0033828720530614E-2</v>
      </c>
      <c r="K3" s="68">
        <v>3.6831264888081576E-2</v>
      </c>
      <c r="L3" s="68">
        <v>9.7066440209999157E-3</v>
      </c>
      <c r="M3" s="68">
        <v>4.841224566576402E-2</v>
      </c>
    </row>
    <row r="4" spans="1:13" x14ac:dyDescent="0.35">
      <c r="B4" s="18" t="s">
        <v>71</v>
      </c>
      <c r="C4" s="68">
        <v>5.4018274570201079E-2</v>
      </c>
      <c r="D4" s="68">
        <v>4.8985866460269666E-2</v>
      </c>
      <c r="E4" s="68">
        <v>1.4740769438444925E-2</v>
      </c>
      <c r="F4" s="68">
        <v>4.4772248224759829E-2</v>
      </c>
      <c r="G4" s="68">
        <v>0.13572497946771364</v>
      </c>
      <c r="H4" s="68">
        <v>7.8799665406861952E-2</v>
      </c>
      <c r="I4" s="68">
        <v>5.398557601663855E-3</v>
      </c>
      <c r="J4" s="68">
        <v>0.11007819680883335</v>
      </c>
      <c r="K4" s="68">
        <v>0.10934860386853953</v>
      </c>
      <c r="L4" s="68">
        <v>1.7540968714837922E-2</v>
      </c>
      <c r="M4" s="68">
        <v>8.1229535295718289E-2</v>
      </c>
    </row>
    <row r="5" spans="1:13" x14ac:dyDescent="0.35">
      <c r="B5" s="18" t="s">
        <v>54</v>
      </c>
      <c r="C5" s="68">
        <v>5.4231556283586099E-2</v>
      </c>
      <c r="D5" s="68">
        <v>4.2935092669039499E-2</v>
      </c>
      <c r="E5" s="68">
        <v>0.1236496651187905</v>
      </c>
      <c r="F5" s="68">
        <v>3.511127745983382E-2</v>
      </c>
      <c r="G5" s="68">
        <v>3.7015672939235175E-2</v>
      </c>
      <c r="H5" s="68">
        <v>4.4304425279422979E-2</v>
      </c>
      <c r="I5" s="68">
        <v>8.9044760845684454E-2</v>
      </c>
      <c r="J5" s="68">
        <v>5.8799237185957615E-2</v>
      </c>
      <c r="K5" s="68">
        <v>6.0465947196087229E-2</v>
      </c>
      <c r="L5" s="68">
        <v>4.1205875015695483E-2</v>
      </c>
      <c r="M5" s="68">
        <v>4.9447750277307634E-2</v>
      </c>
    </row>
    <row r="6" spans="1:13" x14ac:dyDescent="0.35">
      <c r="B6" s="18" t="s">
        <v>55</v>
      </c>
      <c r="C6" s="68">
        <v>5.1838813381266001E-3</v>
      </c>
      <c r="D6" s="68">
        <v>2.4414477498992594E-2</v>
      </c>
      <c r="E6" s="68">
        <v>4.9237430129589629E-2</v>
      </c>
      <c r="F6" s="68">
        <v>2.1124188406585045E-2</v>
      </c>
      <c r="G6" s="68">
        <v>1.060808846667831E-2</v>
      </c>
      <c r="H6" s="68">
        <v>1.705771539414443E-2</v>
      </c>
      <c r="I6" s="68">
        <v>2.2289080365997138E-2</v>
      </c>
      <c r="J6" s="68">
        <v>1.434640990215693E-2</v>
      </c>
      <c r="K6" s="68">
        <v>2.3811353776178226E-2</v>
      </c>
      <c r="L6" s="68">
        <v>5.5589016325561631E-2</v>
      </c>
      <c r="M6" s="68">
        <v>1.9922869588677186E-2</v>
      </c>
    </row>
    <row r="7" spans="1:13" x14ac:dyDescent="0.35">
      <c r="B7" s="18" t="s">
        <v>56</v>
      </c>
      <c r="C7" s="68">
        <v>7.3319643319515099E-2</v>
      </c>
      <c r="D7" s="68">
        <v>7.5998946601342515E-2</v>
      </c>
      <c r="E7" s="68">
        <v>7.4921341144708428E-2</v>
      </c>
      <c r="F7" s="68">
        <v>0.10291093884877969</v>
      </c>
      <c r="G7" s="68">
        <v>7.8922342436297727E-2</v>
      </c>
      <c r="H7" s="68">
        <v>0.11817931769204384</v>
      </c>
      <c r="I7" s="68">
        <v>0.10610013667669237</v>
      </c>
      <c r="J7" s="68">
        <v>0.15393517245037153</v>
      </c>
      <c r="K7" s="68">
        <v>0.17460866557409446</v>
      </c>
      <c r="L7" s="68">
        <v>0.2094975256401832</v>
      </c>
      <c r="M7" s="68">
        <v>0.12397963904104223</v>
      </c>
    </row>
    <row r="8" spans="1:13" x14ac:dyDescent="0.35">
      <c r="B8" s="18" t="s">
        <v>57</v>
      </c>
      <c r="C8" s="68">
        <v>0.60719954498152773</v>
      </c>
      <c r="D8" s="68">
        <v>0.43629086761154157</v>
      </c>
      <c r="E8" s="68">
        <v>0.170124510475162</v>
      </c>
      <c r="F8" s="68">
        <v>0.49586940411198133</v>
      </c>
      <c r="G8" s="68">
        <v>0.61984374063751158</v>
      </c>
      <c r="H8" s="68">
        <v>0.60984789971614728</v>
      </c>
      <c r="I8" s="68">
        <v>0.62108462313299628</v>
      </c>
      <c r="J8" s="68">
        <v>0.49243523181198179</v>
      </c>
      <c r="K8" s="68">
        <v>0.51942024045604585</v>
      </c>
      <c r="L8" s="68">
        <v>0.5814103672422517</v>
      </c>
      <c r="M8" s="68">
        <v>0.52151878400486973</v>
      </c>
    </row>
    <row r="9" spans="1:13" x14ac:dyDescent="0.35">
      <c r="B9" s="18" t="s">
        <v>5</v>
      </c>
      <c r="C9" s="68">
        <v>0.18795457261741005</v>
      </c>
      <c r="D9" s="68">
        <v>0.33097038703632914</v>
      </c>
      <c r="E9" s="68">
        <v>0.5543657935205184</v>
      </c>
      <c r="F9" s="68">
        <v>0.18028277593294659</v>
      </c>
      <c r="G9" s="68">
        <v>9.5215617338921171E-2</v>
      </c>
      <c r="H9" s="68">
        <v>7.879914867897396E-2</v>
      </c>
      <c r="I9" s="68">
        <v>0.1500109013081263</v>
      </c>
      <c r="J9" s="68">
        <v>7.6446923728988633E-2</v>
      </c>
      <c r="K9" s="68">
        <v>5.0515760539532793E-2</v>
      </c>
      <c r="L9" s="68">
        <v>7.2601435664191818E-2</v>
      </c>
      <c r="M9" s="68">
        <v>0.1381998555456124</v>
      </c>
    </row>
    <row r="10" spans="1:13" x14ac:dyDescent="0.35">
      <c r="B10" s="18" t="s">
        <v>58</v>
      </c>
      <c r="C10" s="68">
        <v>1.4151942994928423E-2</v>
      </c>
      <c r="D10" s="68">
        <v>1.826850420549905E-2</v>
      </c>
      <c r="E10" s="68">
        <v>8.8060355291576676E-3</v>
      </c>
      <c r="F10" s="68">
        <v>5.5871358330938474E-3</v>
      </c>
      <c r="G10" s="68">
        <v>1.7326938075796182E-2</v>
      </c>
      <c r="H10" s="68">
        <v>1.5134452420489221E-2</v>
      </c>
      <c r="I10" s="68">
        <v>3.1814332797973147E-3</v>
      </c>
      <c r="J10" s="68">
        <v>2.3924999391179688E-2</v>
      </c>
      <c r="K10" s="68">
        <v>2.499816370144033E-2</v>
      </c>
      <c r="L10" s="68">
        <v>1.2448167376278345E-2</v>
      </c>
      <c r="M10" s="68">
        <v>1.7674369531048756E-2</v>
      </c>
    </row>
    <row r="11" spans="1:13" x14ac:dyDescent="0.35">
      <c r="B11" s="18" t="s">
        <v>59</v>
      </c>
      <c r="C11" s="68">
        <v>9.4020845962614255E-6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-3.8504895004018127E-4</v>
      </c>
    </row>
    <row r="12" spans="1:13" x14ac:dyDescent="0.35">
      <c r="B12" s="23"/>
      <c r="C12" s="21">
        <f t="shared" ref="C12:M12" si="0">SUM(C3:C11)</f>
        <v>1</v>
      </c>
      <c r="D12" s="21">
        <f t="shared" si="0"/>
        <v>1</v>
      </c>
      <c r="E12" s="21">
        <f t="shared" si="0"/>
        <v>1</v>
      </c>
      <c r="F12" s="21">
        <f t="shared" si="0"/>
        <v>1</v>
      </c>
      <c r="G12" s="21">
        <f t="shared" si="0"/>
        <v>1</v>
      </c>
      <c r="H12" s="21">
        <f t="shared" si="0"/>
        <v>1</v>
      </c>
      <c r="I12" s="21">
        <f t="shared" si="0"/>
        <v>1</v>
      </c>
      <c r="J12" s="21">
        <f t="shared" si="0"/>
        <v>1.0000000000000002</v>
      </c>
      <c r="K12" s="21">
        <f t="shared" si="0"/>
        <v>1</v>
      </c>
      <c r="L12" s="21">
        <f t="shared" si="0"/>
        <v>1</v>
      </c>
      <c r="M12" s="21">
        <f t="shared" si="0"/>
        <v>1.0000000000000002</v>
      </c>
    </row>
    <row r="13" spans="1:13" x14ac:dyDescent="0.35">
      <c r="C13" s="30"/>
      <c r="D13" s="30"/>
      <c r="E13" s="30"/>
      <c r="F13" s="30"/>
      <c r="G13" s="30"/>
      <c r="H13" s="30"/>
      <c r="I13" s="30"/>
    </row>
    <row r="17" spans="2:9" x14ac:dyDescent="0.35">
      <c r="B17" s="28"/>
      <c r="C17" s="28"/>
      <c r="D17" s="28"/>
      <c r="E17" s="28"/>
      <c r="F17" s="28"/>
      <c r="G17" s="28"/>
      <c r="H17" s="28"/>
      <c r="I17" s="28"/>
    </row>
    <row r="18" spans="2:9" x14ac:dyDescent="0.35">
      <c r="B18" s="28"/>
      <c r="C18" s="28"/>
      <c r="D18" s="28"/>
      <c r="E18" s="28"/>
      <c r="F18" s="28"/>
      <c r="G18" s="28"/>
      <c r="H18" s="28"/>
      <c r="I18" s="28"/>
    </row>
    <row r="19" spans="2:9" x14ac:dyDescent="0.35">
      <c r="B19" s="28"/>
      <c r="C19" s="28"/>
      <c r="D19" s="28"/>
      <c r="E19" s="28"/>
      <c r="F19" s="28"/>
      <c r="G19" s="28"/>
      <c r="H19" s="28"/>
      <c r="I19" s="28"/>
    </row>
    <row r="20" spans="2:9" x14ac:dyDescent="0.35">
      <c r="B20" s="28"/>
      <c r="C20" s="28"/>
      <c r="D20" s="28"/>
      <c r="E20" s="28"/>
      <c r="F20" s="28"/>
      <c r="G20" s="28"/>
      <c r="H20" s="28"/>
      <c r="I20" s="28"/>
    </row>
    <row r="21" spans="2:9" x14ac:dyDescent="0.35">
      <c r="B21" s="28"/>
      <c r="C21" s="28"/>
      <c r="D21" s="28"/>
      <c r="E21" s="28"/>
      <c r="F21" s="28"/>
      <c r="G21" s="28"/>
      <c r="H21" s="28"/>
      <c r="I21" s="28"/>
    </row>
    <row r="22" spans="2:9" x14ac:dyDescent="0.35">
      <c r="B22" s="28"/>
      <c r="C22" s="28"/>
      <c r="D22" s="28"/>
      <c r="E22" s="28"/>
      <c r="F22" s="28"/>
      <c r="G22" s="28"/>
      <c r="H22" s="28"/>
      <c r="I22" s="28"/>
    </row>
    <row r="23" spans="2:9" x14ac:dyDescent="0.35">
      <c r="B23" s="28"/>
      <c r="C23" s="28"/>
      <c r="D23" s="28"/>
      <c r="E23" s="28"/>
      <c r="F23" s="28"/>
      <c r="G23" s="28"/>
      <c r="H23" s="28"/>
      <c r="I23" s="28"/>
    </row>
    <row r="24" spans="2:9" x14ac:dyDescent="0.35">
      <c r="B24" s="28"/>
      <c r="C24" s="28"/>
      <c r="D24" s="28"/>
      <c r="E24" s="28"/>
      <c r="F24" s="28"/>
      <c r="G24" s="28"/>
      <c r="H24" s="28"/>
      <c r="I24" s="28"/>
    </row>
    <row r="25" spans="2:9" x14ac:dyDescent="0.35">
      <c r="B25" s="28"/>
      <c r="C25" s="28"/>
      <c r="D25" s="28"/>
      <c r="E25" s="28"/>
      <c r="F25" s="28"/>
      <c r="G25" s="28"/>
      <c r="H25" s="28"/>
      <c r="I25" s="28"/>
    </row>
    <row r="26" spans="2:9" x14ac:dyDescent="0.35">
      <c r="B26" s="28"/>
      <c r="C26" s="28"/>
      <c r="D26" s="28"/>
      <c r="E26" s="28"/>
      <c r="F26" s="28"/>
      <c r="G26" s="28"/>
      <c r="H26" s="28"/>
      <c r="I26" s="28"/>
    </row>
    <row r="27" spans="2:9" x14ac:dyDescent="0.35">
      <c r="B27" s="28"/>
      <c r="C27" s="28"/>
      <c r="D27" s="28"/>
      <c r="E27" s="28"/>
      <c r="F27" s="28"/>
      <c r="G27" s="28"/>
      <c r="H27" s="28"/>
      <c r="I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workbookViewId="0">
      <selection activeCell="C3" sqref="C3:F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54296875" style="15" customWidth="1"/>
    <col min="6" max="6" width="15.6328125" style="15" bestFit="1" customWidth="1"/>
    <col min="7" max="7" width="14.6328125" style="15" bestFit="1" customWidth="1"/>
    <col min="8" max="8" width="11" style="15" bestFit="1" customWidth="1"/>
    <col min="9" max="11" width="11.26953125" style="15" bestFit="1" customWidth="1"/>
    <col min="12" max="12" width="11.7265625" style="28" customWidth="1"/>
    <col min="13" max="16384" width="9.1796875" style="28"/>
  </cols>
  <sheetData>
    <row r="1" spans="1:14" x14ac:dyDescent="0.35">
      <c r="A1" s="39" t="str">
        <f>'Fixed rate bond (Values)'!A1</f>
        <v>25 April 2025</v>
      </c>
    </row>
    <row r="2" spans="1:14" x14ac:dyDescent="0.35">
      <c r="A2" s="17"/>
      <c r="B2" s="18" t="s">
        <v>40</v>
      </c>
      <c r="C2" s="18" t="s">
        <v>75</v>
      </c>
      <c r="D2" s="53" t="s">
        <v>79</v>
      </c>
      <c r="E2" s="53" t="s">
        <v>92</v>
      </c>
      <c r="F2" s="53" t="s">
        <v>52</v>
      </c>
      <c r="L2" s="15"/>
      <c r="M2" s="15"/>
    </row>
    <row r="3" spans="1:14" x14ac:dyDescent="0.35">
      <c r="B3" s="18" t="s">
        <v>53</v>
      </c>
      <c r="C3" s="64">
        <v>214814011</v>
      </c>
      <c r="D3" s="64">
        <v>559070000</v>
      </c>
      <c r="E3" s="64">
        <v>30000000</v>
      </c>
      <c r="F3" s="54">
        <v>803884011</v>
      </c>
      <c r="L3" s="15"/>
      <c r="M3" s="15"/>
      <c r="N3" s="50"/>
    </row>
    <row r="4" spans="1:14" x14ac:dyDescent="0.35">
      <c r="B4" s="18" t="s">
        <v>71</v>
      </c>
      <c r="C4" s="64">
        <v>51757300877</v>
      </c>
      <c r="D4" s="64">
        <v>54185837227</v>
      </c>
      <c r="E4" s="64">
        <v>4000000000</v>
      </c>
      <c r="F4" s="54">
        <v>109943138104</v>
      </c>
      <c r="L4" s="15"/>
      <c r="M4" s="15"/>
      <c r="N4" s="50"/>
    </row>
    <row r="5" spans="1:14" x14ac:dyDescent="0.35">
      <c r="B5" s="18" t="s">
        <v>54</v>
      </c>
      <c r="C5" s="64">
        <v>1362440000</v>
      </c>
      <c r="D5" s="64">
        <v>7358623000</v>
      </c>
      <c r="E5" s="64">
        <v>261600000</v>
      </c>
      <c r="F5" s="54">
        <v>8982663000</v>
      </c>
      <c r="L5" s="15"/>
      <c r="M5" s="15"/>
      <c r="N5" s="50"/>
    </row>
    <row r="6" spans="1:14" x14ac:dyDescent="0.35">
      <c r="B6" s="18" t="s">
        <v>55</v>
      </c>
      <c r="C6" s="64">
        <v>1421000000</v>
      </c>
      <c r="D6" s="64">
        <v>625827000</v>
      </c>
      <c r="E6" s="64">
        <v>197046000</v>
      </c>
      <c r="F6" s="54">
        <v>2243873000</v>
      </c>
      <c r="L6" s="15"/>
      <c r="M6" s="15"/>
      <c r="N6" s="50"/>
    </row>
    <row r="7" spans="1:14" x14ac:dyDescent="0.35">
      <c r="B7" s="18" t="s">
        <v>56</v>
      </c>
      <c r="C7" s="64">
        <v>113300000</v>
      </c>
      <c r="D7" s="64">
        <v>886471000</v>
      </c>
      <c r="E7" s="64">
        <v>37000000</v>
      </c>
      <c r="F7" s="54">
        <v>1036771000</v>
      </c>
      <c r="L7" s="15"/>
      <c r="M7" s="15"/>
      <c r="N7" s="50"/>
    </row>
    <row r="8" spans="1:14" x14ac:dyDescent="0.35">
      <c r="B8" s="18" t="s">
        <v>57</v>
      </c>
      <c r="C8" s="64">
        <v>47250000</v>
      </c>
      <c r="D8" s="64">
        <v>330769000</v>
      </c>
      <c r="E8" s="64">
        <v>41000000</v>
      </c>
      <c r="F8" s="54">
        <v>419019000</v>
      </c>
      <c r="L8" s="15"/>
      <c r="M8" s="15"/>
      <c r="N8" s="50"/>
    </row>
    <row r="9" spans="1:14" x14ac:dyDescent="0.35">
      <c r="B9" s="18" t="s">
        <v>5</v>
      </c>
      <c r="C9" s="64">
        <v>16112796509</v>
      </c>
      <c r="D9" s="64">
        <v>48025402773</v>
      </c>
      <c r="E9" s="64">
        <v>7794354000</v>
      </c>
      <c r="F9" s="54">
        <v>71932553282</v>
      </c>
      <c r="L9" s="15"/>
      <c r="M9" s="15"/>
      <c r="N9" s="50"/>
    </row>
    <row r="10" spans="1:14" x14ac:dyDescent="0.35">
      <c r="B10" s="18" t="s">
        <v>58</v>
      </c>
      <c r="C10" s="64">
        <v>46098603</v>
      </c>
      <c r="D10" s="64">
        <v>238600000</v>
      </c>
      <c r="E10" s="64">
        <v>54000000</v>
      </c>
      <c r="F10" s="54">
        <v>338698603</v>
      </c>
      <c r="L10" s="15"/>
      <c r="M10" s="15"/>
      <c r="N10" s="50"/>
    </row>
    <row r="11" spans="1:14" x14ac:dyDescent="0.35">
      <c r="B11" s="19" t="s">
        <v>59</v>
      </c>
      <c r="C11" s="65">
        <v>0</v>
      </c>
      <c r="D11" s="65">
        <v>229400000</v>
      </c>
      <c r="E11" s="65">
        <v>0</v>
      </c>
      <c r="F11" s="54">
        <v>229400000</v>
      </c>
      <c r="L11" s="15"/>
      <c r="M11" s="15"/>
      <c r="N11" s="50"/>
    </row>
    <row r="12" spans="1:14" x14ac:dyDescent="0.35">
      <c r="B12" s="19"/>
      <c r="C12" s="20">
        <f>SUM(C3:C11)</f>
        <v>71075000000</v>
      </c>
      <c r="D12" s="20">
        <f t="shared" ref="D12:E12" si="0">SUM(D3:D11)</f>
        <v>112440000000</v>
      </c>
      <c r="E12" s="20">
        <f t="shared" si="0"/>
        <v>12415000000</v>
      </c>
      <c r="F12" s="54">
        <f t="shared" ref="F12" si="1">SUM(C12:E12)</f>
        <v>195930000000</v>
      </c>
      <c r="G12" s="26"/>
      <c r="L12" s="15"/>
      <c r="M12" s="15"/>
    </row>
    <row r="13" spans="1:14" x14ac:dyDescent="0.35">
      <c r="C13" s="30"/>
      <c r="D13" s="30"/>
      <c r="E13" s="30"/>
      <c r="L13" s="15"/>
      <c r="M13" s="15"/>
    </row>
    <row r="17" spans="2:11" x14ac:dyDescent="0.35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1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2:11" x14ac:dyDescent="0.35"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2:11" x14ac:dyDescent="0.35"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2:11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2:11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2:11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2:11" x14ac:dyDescent="0.35"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2:11" x14ac:dyDescent="0.35"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2:11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2:11" x14ac:dyDescent="0.35"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selection activeCell="C4" sqref="C4:F1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5" width="13.26953125" style="15" customWidth="1"/>
    <col min="6" max="16384" width="8.7265625" style="15"/>
  </cols>
  <sheetData>
    <row r="1" spans="1:6" ht="14" x14ac:dyDescent="0.3">
      <c r="A1" s="39" t="str">
        <f>'Fixed rate bond (Values)'!A1</f>
        <v>25 April 2025</v>
      </c>
    </row>
    <row r="3" spans="1:6" ht="13" x14ac:dyDescent="0.3">
      <c r="B3" s="18" t="s">
        <v>40</v>
      </c>
      <c r="C3" s="22" t="s">
        <v>75</v>
      </c>
      <c r="D3" s="43" t="s">
        <v>79</v>
      </c>
      <c r="E3" s="43" t="s">
        <v>92</v>
      </c>
      <c r="F3" s="43" t="s">
        <v>70</v>
      </c>
    </row>
    <row r="4" spans="1:6" ht="13" x14ac:dyDescent="0.3">
      <c r="B4" s="18" t="s">
        <v>53</v>
      </c>
      <c r="C4" s="67">
        <v>3.0223568202602884E-3</v>
      </c>
      <c r="D4" s="70">
        <v>4.97216293134116E-3</v>
      </c>
      <c r="E4" s="70">
        <v>2.4164317358034634E-3</v>
      </c>
      <c r="F4" s="69">
        <v>4.10291436227224E-3</v>
      </c>
    </row>
    <row r="5" spans="1:6" ht="13" x14ac:dyDescent="0.3">
      <c r="B5" s="18" t="s">
        <v>71</v>
      </c>
      <c r="C5" s="67">
        <v>0.72820683611677806</v>
      </c>
      <c r="D5" s="70">
        <v>0.48190890454464602</v>
      </c>
      <c r="E5" s="70">
        <v>0.32219089810712848</v>
      </c>
      <c r="F5" s="69">
        <v>0.56113478336140454</v>
      </c>
    </row>
    <row r="6" spans="1:6" ht="13" x14ac:dyDescent="0.3">
      <c r="B6" s="18" t="s">
        <v>54</v>
      </c>
      <c r="C6" s="67">
        <v>1.9169046781568767E-2</v>
      </c>
      <c r="D6" s="70">
        <v>6.5444886161508356E-2</v>
      </c>
      <c r="E6" s="70">
        <v>2.1071284736206203E-2</v>
      </c>
      <c r="F6" s="69">
        <v>4.5846286939212985E-2</v>
      </c>
    </row>
    <row r="7" spans="1:6" ht="13" x14ac:dyDescent="0.3">
      <c r="B7" s="18" t="s">
        <v>55</v>
      </c>
      <c r="C7" s="67">
        <v>1.9992965177629263E-2</v>
      </c>
      <c r="D7" s="70">
        <v>5.5658751334044824E-3</v>
      </c>
      <c r="E7" s="70">
        <v>1.587160692710431E-2</v>
      </c>
      <c r="F7" s="69">
        <v>1.1452421783289951E-2</v>
      </c>
    </row>
    <row r="8" spans="1:6" ht="13" x14ac:dyDescent="0.3">
      <c r="B8" s="18" t="s">
        <v>56</v>
      </c>
      <c r="C8" s="67">
        <v>1.5940907492085826E-3</v>
      </c>
      <c r="D8" s="70">
        <v>7.8839469939523295E-3</v>
      </c>
      <c r="E8" s="70">
        <v>2.9802658074909384E-3</v>
      </c>
      <c r="F8" s="69">
        <v>5.2915377941101412E-3</v>
      </c>
    </row>
    <row r="9" spans="1:6" ht="13" x14ac:dyDescent="0.3">
      <c r="B9" s="18" t="s">
        <v>57</v>
      </c>
      <c r="C9" s="67">
        <v>6.6479071403447061E-4</v>
      </c>
      <c r="D9" s="70">
        <v>2.9417378157239418E-3</v>
      </c>
      <c r="E9" s="70">
        <v>3.302456705598067E-3</v>
      </c>
      <c r="F9" s="69">
        <v>2.1386158321849641E-3</v>
      </c>
    </row>
    <row r="10" spans="1:6" ht="13" x14ac:dyDescent="0.3">
      <c r="B10" s="18" t="s">
        <v>5</v>
      </c>
      <c r="C10" s="67">
        <v>0.22670132267323251</v>
      </c>
      <c r="D10" s="70">
        <v>0.42712026656883673</v>
      </c>
      <c r="E10" s="70">
        <v>0.6278174788562223</v>
      </c>
      <c r="F10" s="69">
        <v>0.3671339421323942</v>
      </c>
    </row>
    <row r="11" spans="1:6" ht="13" x14ac:dyDescent="0.3">
      <c r="B11" s="18" t="s">
        <v>58</v>
      </c>
      <c r="C11" s="67">
        <v>6.4859096728807602E-4</v>
      </c>
      <c r="D11" s="70">
        <v>2.1220206332266097E-3</v>
      </c>
      <c r="E11" s="70">
        <v>4.349577124446234E-3</v>
      </c>
      <c r="F11" s="69">
        <v>1.7286714796100648E-3</v>
      </c>
    </row>
    <row r="12" spans="1:6" ht="13" x14ac:dyDescent="0.3">
      <c r="B12" s="18" t="s">
        <v>59</v>
      </c>
      <c r="C12" s="67">
        <v>0</v>
      </c>
      <c r="D12" s="70">
        <v>2.0401992173603701E-3</v>
      </c>
      <c r="E12" s="70">
        <v>0</v>
      </c>
      <c r="F12" s="69">
        <v>1.1708263155208493E-3</v>
      </c>
    </row>
    <row r="13" spans="1:6" ht="13" x14ac:dyDescent="0.3">
      <c r="B13" s="23"/>
      <c r="C13" s="21">
        <f>SUM(C4:C12)</f>
        <v>1</v>
      </c>
      <c r="D13" s="21">
        <f t="shared" ref="D13:F13" si="0">SUM(D4:D12)</f>
        <v>1</v>
      </c>
      <c r="E13" s="21">
        <f t="shared" si="0"/>
        <v>1</v>
      </c>
      <c r="F13" s="21">
        <f t="shared" si="0"/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C17" sqref="C17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25 April 2025</v>
      </c>
    </row>
    <row r="2" spans="1:7" x14ac:dyDescent="0.35">
      <c r="B2" s="18" t="s">
        <v>40</v>
      </c>
      <c r="C2" s="18" t="s">
        <v>84</v>
      </c>
      <c r="D2" s="53" t="s">
        <v>85</v>
      </c>
      <c r="E2" s="53" t="s">
        <v>86</v>
      </c>
      <c r="F2" s="53" t="s">
        <v>87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v>0</v>
      </c>
    </row>
    <row r="4" spans="1:7" x14ac:dyDescent="0.35">
      <c r="B4" s="18" t="s">
        <v>71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v>15601785000</v>
      </c>
    </row>
    <row r="5" spans="1:7" x14ac:dyDescent="0.35">
      <c r="B5" s="18" t="s">
        <v>54</v>
      </c>
      <c r="C5" s="64">
        <v>28500000</v>
      </c>
      <c r="D5" s="64">
        <v>30475000</v>
      </c>
      <c r="E5" s="64">
        <v>30700000</v>
      </c>
      <c r="F5" s="64">
        <v>0</v>
      </c>
      <c r="G5" s="53">
        <v>89675000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v>0</v>
      </c>
    </row>
    <row r="7" spans="1:7" x14ac:dyDescent="0.35">
      <c r="B7" s="18" t="s">
        <v>56</v>
      </c>
      <c r="C7" s="64">
        <v>0</v>
      </c>
      <c r="D7" s="64">
        <v>9597459</v>
      </c>
      <c r="E7" s="64">
        <v>9592090</v>
      </c>
      <c r="F7" s="64">
        <v>0</v>
      </c>
      <c r="G7" s="53">
        <v>19189549</v>
      </c>
    </row>
    <row r="8" spans="1:7" x14ac:dyDescent="0.35">
      <c r="B8" s="18" t="s">
        <v>57</v>
      </c>
      <c r="C8" s="64">
        <v>35000000</v>
      </c>
      <c r="D8" s="64">
        <v>20000000</v>
      </c>
      <c r="E8" s="64">
        <v>97000000</v>
      </c>
      <c r="F8" s="64">
        <v>138000000</v>
      </c>
      <c r="G8" s="53">
        <v>290000000</v>
      </c>
    </row>
    <row r="9" spans="1:7" x14ac:dyDescent="0.35">
      <c r="B9" s="18" t="s">
        <v>5</v>
      </c>
      <c r="C9" s="64">
        <v>1562715000</v>
      </c>
      <c r="D9" s="64">
        <v>896886618</v>
      </c>
      <c r="E9" s="64">
        <v>1096617910</v>
      </c>
      <c r="F9" s="64">
        <v>783000000</v>
      </c>
      <c r="G9" s="53">
        <v>4339219528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v>0</v>
      </c>
    </row>
    <row r="12" spans="1:7" x14ac:dyDescent="0.35">
      <c r="B12" s="19"/>
      <c r="C12" s="20">
        <f>SUM(C3:C11)</f>
        <v>7490000000</v>
      </c>
      <c r="D12" s="20">
        <f t="shared" ref="D12:F12" si="0">SUM(D3:D11)</f>
        <v>8866000000</v>
      </c>
      <c r="E12" s="20">
        <f t="shared" si="0"/>
        <v>2479000000</v>
      </c>
      <c r="F12" s="20">
        <f t="shared" si="0"/>
        <v>1551000000</v>
      </c>
      <c r="G12" s="20">
        <f>SUM(G3:G11)</f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F17" sqref="F17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25 April 2025</v>
      </c>
    </row>
    <row r="2" spans="1:7" x14ac:dyDescent="0.35">
      <c r="B2" s="18" t="s">
        <v>40</v>
      </c>
      <c r="C2" s="22" t="s">
        <v>84</v>
      </c>
      <c r="D2" s="43" t="s">
        <v>85</v>
      </c>
      <c r="E2" s="43" t="s">
        <v>86</v>
      </c>
      <c r="F2" s="43" t="s">
        <v>87</v>
      </c>
      <c r="G2" s="22" t="s">
        <v>70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71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3.4372885179336792E-3</v>
      </c>
      <c r="E5" s="67">
        <v>1.2384025816861637E-2</v>
      </c>
      <c r="F5" s="67">
        <v>0</v>
      </c>
      <c r="G5" s="69">
        <v>4.3988521534386342E-3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1.0825015790660952E-3</v>
      </c>
      <c r="E7" s="67">
        <v>3.8693384429205327E-3</v>
      </c>
      <c r="F7" s="67">
        <v>0</v>
      </c>
      <c r="G7" s="69">
        <v>9.4131016383792803E-4</v>
      </c>
    </row>
    <row r="8" spans="1:7" x14ac:dyDescent="0.35">
      <c r="B8" s="18" t="s">
        <v>57</v>
      </c>
      <c r="C8" s="67">
        <v>4.6728971962616819E-3</v>
      </c>
      <c r="D8" s="67">
        <v>2.2558087074216106E-3</v>
      </c>
      <c r="E8" s="67">
        <v>3.9128680919725697E-2</v>
      </c>
      <c r="F8" s="67">
        <v>8.8974854932301742E-2</v>
      </c>
      <c r="G8" s="69">
        <v>1.4225448837437458E-2</v>
      </c>
    </row>
    <row r="9" spans="1:7" x14ac:dyDescent="0.35">
      <c r="B9" s="18" t="s">
        <v>5</v>
      </c>
      <c r="C9" s="67">
        <v>0.20864018691588784</v>
      </c>
      <c r="D9" s="67">
        <v>0.10116023212271599</v>
      </c>
      <c r="E9" s="67">
        <v>0.44236301331181926</v>
      </c>
      <c r="F9" s="67">
        <v>0.50483558994197297</v>
      </c>
      <c r="G9" s="69">
        <v>0.21285291513783969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0.99999999999999978</v>
      </c>
      <c r="F12" s="21">
        <f t="shared" si="0"/>
        <v>1</v>
      </c>
      <c r="G12" s="21">
        <f t="shared" si="0"/>
        <v>0.99999999999999989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David Milne</cp:lastModifiedBy>
  <dcterms:created xsi:type="dcterms:W3CDTF">2016-03-09T09:54:02Z</dcterms:created>
  <dcterms:modified xsi:type="dcterms:W3CDTF">2025-05-07T10:45:56Z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