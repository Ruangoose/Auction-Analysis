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November\"/>
    </mc:Choice>
  </mc:AlternateContent>
  <xr:revisionPtr revIDLastSave="0" documentId="13_ncr:1_{2D6BD378-D790-4E4F-987E-2E8177FCA9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5" i="6"/>
  <c r="E4" i="6"/>
  <c r="E3" i="6"/>
  <c r="Q12" i="3"/>
  <c r="F12" i="3"/>
  <c r="G12" i="3"/>
  <c r="H12" i="3"/>
  <c r="I12" i="3"/>
  <c r="J12" i="3"/>
  <c r="K12" i="3"/>
  <c r="L12" i="3"/>
  <c r="M12" i="3"/>
  <c r="N12" i="3"/>
  <c r="O12" i="3"/>
  <c r="P12" i="3"/>
  <c r="Q3" i="2"/>
  <c r="Q4" i="2"/>
  <c r="Q5" i="2"/>
  <c r="Q6" i="2"/>
  <c r="Q7" i="2"/>
  <c r="Q8" i="2"/>
  <c r="Q9" i="2"/>
  <c r="Q10" i="2"/>
  <c r="Q11" i="2"/>
  <c r="Q12" i="2"/>
  <c r="K12" i="2"/>
  <c r="G12" i="2"/>
  <c r="G3" i="8"/>
  <c r="G4" i="8"/>
  <c r="G5" i="8"/>
  <c r="G6" i="8"/>
  <c r="G7" i="8"/>
  <c r="G8" i="8"/>
  <c r="G9" i="8"/>
  <c r="G10" i="8"/>
  <c r="G11" i="8"/>
  <c r="N6" i="4"/>
  <c r="D12" i="9"/>
  <c r="E12" i="9"/>
  <c r="F12" i="9"/>
  <c r="G12" i="9"/>
  <c r="C12" i="9"/>
  <c r="D12" i="8"/>
  <c r="E12" i="8"/>
  <c r="F12" i="8"/>
  <c r="C12" i="8"/>
  <c r="D13" i="7"/>
  <c r="E13" i="7"/>
  <c r="C13" i="7"/>
  <c r="E6" i="6"/>
  <c r="E7" i="6"/>
  <c r="E8" i="6"/>
  <c r="E11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7" i="4"/>
  <c r="N8" i="4"/>
  <c r="N9" i="4"/>
  <c r="N10" i="4"/>
  <c r="N11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/>
  <c r="A1" i="9"/>
  <c r="A1" i="3"/>
  <c r="G12" i="8"/>
  <c r="N12" i="4"/>
  <c r="E12" i="6"/>
</calcChain>
</file>

<file path=xl/sharedStrings.xml><?xml version="1.0" encoding="utf-8"?>
<sst xmlns="http://schemas.openxmlformats.org/spreadsheetml/2006/main" count="341" uniqueCount="93">
  <si>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</si>
  <si>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</si>
  <si>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</si>
  <si>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</si>
  <si>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</si>
  <si>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</si>
  <si>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</si>
  <si>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</si>
  <si>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</si>
  <si>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</si>
  <si>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</si>
  <si>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</si>
  <si>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</si>
  <si>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</si>
  <si>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</si>
  <si>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</si>
  <si>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</si>
  <si>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</si>
  <si>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</si>
  <si>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</si>
  <si>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</si>
  <si>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</si>
  <si>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</si>
  <si>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</si>
  <si>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</si>
  <si>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</si>
  <si>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</si>
  <si>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</si>
  <si>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</si>
  <si>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</si>
  <si>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</si>
  <si>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</si>
  <si>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</si>
  <si>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</si>
  <si>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</si>
  <si>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</si>
  <si>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</si>
  <si>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</si>
  <si>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</si>
  <si>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</si>
  <si>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</si>
  <si>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</si>
  <si>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</si>
  <si>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</si>
  <si>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</si>
  <si>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</si>
  <si>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</si>
  <si>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</si>
  <si>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</si>
  <si>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</si>
  <si>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</si>
  <si>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</si>
  <si>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</si>
  <si>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</si>
  <si>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</si>
  <si>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</si>
  <si>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</si>
  <si>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</si>
  <si>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</si>
  <si>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</si>
  <si>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</si>
  <si>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</si>
  <si>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</si>
  <si>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</si>
  <si>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</si>
  <si>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</si>
  <si>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</si>
  <si>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</si>
  <si>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</si>
  <si>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</si>
  <si>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</si>
  <si>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</si>
  <si>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</si>
  <si>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</si>
  <si>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</si>
  <si>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</si>
  <si>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</si>
  <si>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</si>
  <si>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</si>
  <si>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</si>
  <si>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</si>
  <si>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</si>
  <si>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</si>
  <si>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</si>
  <si>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</si>
  <si>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</si>
  <si>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</si>
  <si>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</si>
  <si>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</si>
  <si>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</si>
  <si>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</si>
  <si>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</si>
  <si>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29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</si>
</sst>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"/>
  <sheetViews>
    <sheetView tabSelected="1" workbookViewId="0">
      <pane ySplit="1" topLeftCell="A160" activePane="bottomLeft" state="frozen"/>
      <selection pane="bottomLeft" activeCell="D173" sqref="D173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2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2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2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2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2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66" workbookViewId="0">
      <selection activeCell="G24" sqref="G24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1796875" style="15" bestFit="1" customWidth="1"/>
    <col min="7" max="7" width="14" style="15" bestFit="1" customWidth="1"/>
    <col min="8" max="8" width="16.1796875" style="15" customWidth="1"/>
    <col min="9" max="10" width="16.1796875" style="15" bestFit="1" customWidth="1"/>
    <col min="11" max="11" width="14" style="15" bestFit="1" customWidth="1"/>
    <col min="12" max="12" width="16.1796875" style="15" bestFit="1" customWidth="1"/>
    <col min="13" max="13" width="15" style="15" bestFit="1" customWidth="1"/>
    <col min="14" max="14" width="16.1796875" style="15" bestFit="1" customWidth="1"/>
    <col min="15" max="15" width="20.453125" style="15" bestFit="1" customWidth="1"/>
    <col min="16" max="16" width="15" bestFit="1" customWidth="1"/>
    <col min="17" max="17" width="17.7265625" bestFit="1" customWidth="1"/>
    <col min="18" max="18" width="20.54296875" bestFit="1" customWidth="1"/>
  </cols>
  <sheetData>
    <row r="1" spans="1:18" x14ac:dyDescent="0.35">
      <c r="A1" s="39" t="s">
        <v>92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90</v>
      </c>
      <c r="H2" s="41" t="s">
        <v>45</v>
      </c>
      <c r="I2" s="41" t="s">
        <v>46</v>
      </c>
      <c r="J2" s="41" t="s">
        <v>47</v>
      </c>
      <c r="K2" s="41" t="s">
        <v>91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78</v>
      </c>
      <c r="Q2" s="53" t="s">
        <v>52</v>
      </c>
    </row>
    <row r="3" spans="1:18" x14ac:dyDescent="0.35">
      <c r="B3" s="18" t="s">
        <v>53</v>
      </c>
      <c r="C3" s="64">
        <v>83074376092.949997</v>
      </c>
      <c r="D3" s="64">
        <v>86408916700.48999</v>
      </c>
      <c r="E3" s="64">
        <v>56452192916</v>
      </c>
      <c r="F3" s="64">
        <v>70983011755</v>
      </c>
      <c r="G3" s="64">
        <v>5709179105</v>
      </c>
      <c r="H3" s="64">
        <v>147772319295</v>
      </c>
      <c r="I3" s="64">
        <v>38840671324.32</v>
      </c>
      <c r="J3" s="64">
        <v>116814589730</v>
      </c>
      <c r="K3" s="64">
        <v>4528292164</v>
      </c>
      <c r="L3" s="64">
        <v>97375947348</v>
      </c>
      <c r="M3" s="64">
        <v>47471411960</v>
      </c>
      <c r="N3" s="64">
        <v>80506131497</v>
      </c>
      <c r="O3" s="64">
        <v>79678462441</v>
      </c>
      <c r="P3" s="64">
        <v>10168862280</v>
      </c>
      <c r="Q3" s="54">
        <f>SUM(C3:P3)</f>
        <v>925784364608.76001</v>
      </c>
      <c r="R3" s="51"/>
    </row>
    <row r="4" spans="1:18" x14ac:dyDescent="0.35">
      <c r="B4" s="18" t="s">
        <v>72</v>
      </c>
      <c r="C4" s="64">
        <v>140242754784.64999</v>
      </c>
      <c r="D4" s="64">
        <v>78608778963.529999</v>
      </c>
      <c r="E4" s="64">
        <v>68894557207</v>
      </c>
      <c r="F4" s="64">
        <v>72143667196.199997</v>
      </c>
      <c r="G4" s="64">
        <v>4974480352</v>
      </c>
      <c r="H4" s="64">
        <v>30745365039.799999</v>
      </c>
      <c r="I4" s="64">
        <v>11388170240</v>
      </c>
      <c r="J4" s="64">
        <v>23890505086.689999</v>
      </c>
      <c r="K4" s="64">
        <v>2325409431</v>
      </c>
      <c r="L4" s="64">
        <v>26114928773</v>
      </c>
      <c r="M4" s="64">
        <v>7738641270</v>
      </c>
      <c r="N4" s="64">
        <v>26156265018.099998</v>
      </c>
      <c r="O4" s="64">
        <v>127511757781.58</v>
      </c>
      <c r="P4" s="64">
        <v>5758706261</v>
      </c>
      <c r="Q4" s="54">
        <f t="shared" ref="Q4:Q11" si="0">SUM(C4:P4)</f>
        <v>626493987404.54993</v>
      </c>
    </row>
    <row r="5" spans="1:18" x14ac:dyDescent="0.35">
      <c r="B5" s="18" t="s">
        <v>54</v>
      </c>
      <c r="C5" s="64">
        <v>14579789023.9</v>
      </c>
      <c r="D5" s="64">
        <v>17782297899</v>
      </c>
      <c r="E5" s="64">
        <v>8853717548</v>
      </c>
      <c r="F5" s="64">
        <v>12530463511</v>
      </c>
      <c r="G5" s="64">
        <v>477279202</v>
      </c>
      <c r="H5" s="64">
        <v>13756078566</v>
      </c>
      <c r="I5" s="64">
        <v>8135573410</v>
      </c>
      <c r="J5" s="64">
        <v>23773222808</v>
      </c>
      <c r="K5" s="64">
        <v>739845119</v>
      </c>
      <c r="L5" s="64">
        <v>27776891521</v>
      </c>
      <c r="M5" s="64">
        <v>10456966209</v>
      </c>
      <c r="N5" s="64">
        <v>31647400088</v>
      </c>
      <c r="O5" s="64">
        <v>35925086321</v>
      </c>
      <c r="P5" s="64">
        <v>11433265261</v>
      </c>
      <c r="Q5" s="54">
        <f t="shared" si="0"/>
        <v>217867876486.89999</v>
      </c>
    </row>
    <row r="6" spans="1:18" x14ac:dyDescent="0.35">
      <c r="B6" s="18" t="s">
        <v>55</v>
      </c>
      <c r="C6" s="64">
        <v>2384019088</v>
      </c>
      <c r="D6" s="64">
        <v>3819797057</v>
      </c>
      <c r="E6" s="64">
        <v>2202925859</v>
      </c>
      <c r="F6" s="64">
        <v>3967668128</v>
      </c>
      <c r="G6" s="64">
        <v>487700000</v>
      </c>
      <c r="H6" s="64">
        <v>2487812015</v>
      </c>
      <c r="I6" s="64">
        <v>484416955</v>
      </c>
      <c r="J6" s="64">
        <v>3493000589</v>
      </c>
      <c r="K6" s="64">
        <v>198937310</v>
      </c>
      <c r="L6" s="64">
        <v>2495407493</v>
      </c>
      <c r="M6" s="64">
        <v>640729576</v>
      </c>
      <c r="N6" s="64">
        <v>2068321387</v>
      </c>
      <c r="O6" s="64">
        <v>4554030426</v>
      </c>
      <c r="P6" s="64">
        <v>189834060</v>
      </c>
      <c r="Q6" s="54">
        <f t="shared" si="0"/>
        <v>29474599943</v>
      </c>
    </row>
    <row r="7" spans="1:18" x14ac:dyDescent="0.35">
      <c r="B7" s="18" t="s">
        <v>56</v>
      </c>
      <c r="C7" s="64">
        <v>2940792943.73</v>
      </c>
      <c r="D7" s="64">
        <v>6385809368</v>
      </c>
      <c r="E7" s="64">
        <v>4182929634</v>
      </c>
      <c r="F7" s="64">
        <v>11457976192</v>
      </c>
      <c r="G7" s="64">
        <v>324187132</v>
      </c>
      <c r="H7" s="64">
        <v>9779374130</v>
      </c>
      <c r="I7" s="64">
        <v>4142752709</v>
      </c>
      <c r="J7" s="64">
        <v>9259513284</v>
      </c>
      <c r="K7" s="64">
        <v>1407268297</v>
      </c>
      <c r="L7" s="64">
        <v>8325727733</v>
      </c>
      <c r="M7" s="64">
        <v>2399776083</v>
      </c>
      <c r="N7" s="64">
        <v>6882883124</v>
      </c>
      <c r="O7" s="64">
        <v>9948060650</v>
      </c>
      <c r="P7" s="64">
        <v>1048741026</v>
      </c>
      <c r="Q7" s="54">
        <f t="shared" si="0"/>
        <v>78485792305.729996</v>
      </c>
    </row>
    <row r="8" spans="1:18" x14ac:dyDescent="0.35">
      <c r="B8" s="18" t="s">
        <v>57</v>
      </c>
      <c r="C8" s="64">
        <v>15919974950.51</v>
      </c>
      <c r="D8" s="64">
        <v>51397270793</v>
      </c>
      <c r="E8" s="64">
        <v>19680510584</v>
      </c>
      <c r="F8" s="64">
        <v>50595264248</v>
      </c>
      <c r="G8" s="64">
        <v>9944649</v>
      </c>
      <c r="H8" s="64">
        <v>51185324709</v>
      </c>
      <c r="I8" s="64">
        <v>15365525551</v>
      </c>
      <c r="J8" s="64">
        <v>59936878760</v>
      </c>
      <c r="K8" s="64">
        <v>293067961</v>
      </c>
      <c r="L8" s="64">
        <v>42607110408</v>
      </c>
      <c r="M8" s="64">
        <v>9078267526</v>
      </c>
      <c r="N8" s="64">
        <v>51758168326</v>
      </c>
      <c r="O8" s="64">
        <v>69921768376</v>
      </c>
      <c r="P8" s="64">
        <v>6886194932</v>
      </c>
      <c r="Q8" s="54">
        <f t="shared" si="0"/>
        <v>444635271773.51001</v>
      </c>
    </row>
    <row r="9" spans="1:18" x14ac:dyDescent="0.35">
      <c r="B9" s="18" t="s">
        <v>5</v>
      </c>
      <c r="C9" s="64">
        <v>71966462205.699997</v>
      </c>
      <c r="D9" s="64">
        <v>103578031789.98001</v>
      </c>
      <c r="E9" s="64">
        <v>50043765001</v>
      </c>
      <c r="F9" s="64">
        <v>104315165921</v>
      </c>
      <c r="G9" s="64">
        <v>7577837179</v>
      </c>
      <c r="H9" s="64">
        <v>78407998753.199997</v>
      </c>
      <c r="I9" s="64">
        <v>21173066375.68</v>
      </c>
      <c r="J9" s="64">
        <v>77966922052</v>
      </c>
      <c r="K9" s="64">
        <v>9496318017</v>
      </c>
      <c r="L9" s="64">
        <v>67281377932</v>
      </c>
      <c r="M9" s="64">
        <v>14202279327</v>
      </c>
      <c r="N9" s="64">
        <v>66954311061</v>
      </c>
      <c r="O9" s="64">
        <v>94584120541.419998</v>
      </c>
      <c r="P9" s="64">
        <v>26142130205</v>
      </c>
      <c r="Q9" s="54">
        <f t="shared" si="0"/>
        <v>793689786360.9801</v>
      </c>
    </row>
    <row r="10" spans="1:18" x14ac:dyDescent="0.35">
      <c r="B10" s="18" t="s">
        <v>58</v>
      </c>
      <c r="C10" s="64">
        <v>1975118660.45</v>
      </c>
      <c r="D10" s="64">
        <v>5337555354</v>
      </c>
      <c r="E10" s="64">
        <v>2519349823</v>
      </c>
      <c r="F10" s="64">
        <v>3392876410.8000002</v>
      </c>
      <c r="G10" s="64">
        <v>29392381</v>
      </c>
      <c r="H10" s="64">
        <v>7474196800</v>
      </c>
      <c r="I10" s="64">
        <v>4728375580</v>
      </c>
      <c r="J10" s="64">
        <v>5973625932.3099995</v>
      </c>
      <c r="K10" s="64">
        <v>754861701</v>
      </c>
      <c r="L10" s="64">
        <v>4857527744</v>
      </c>
      <c r="M10" s="64">
        <v>1393784545</v>
      </c>
      <c r="N10" s="64">
        <v>1811966369.9000001</v>
      </c>
      <c r="O10" s="64">
        <v>2824165316</v>
      </c>
      <c r="P10" s="64">
        <v>86937683</v>
      </c>
      <c r="Q10" s="54">
        <f t="shared" si="0"/>
        <v>43159734300.459999</v>
      </c>
    </row>
    <row r="11" spans="1:18" x14ac:dyDescent="0.35">
      <c r="A11" s="17"/>
      <c r="B11" s="19" t="s">
        <v>59</v>
      </c>
      <c r="C11" s="65">
        <v>196468489</v>
      </c>
      <c r="D11" s="65">
        <v>150202106</v>
      </c>
      <c r="E11" s="65">
        <v>212672</v>
      </c>
      <c r="F11" s="65">
        <v>10397589</v>
      </c>
      <c r="G11" s="65">
        <v>0</v>
      </c>
      <c r="H11" s="65">
        <v>735163303</v>
      </c>
      <c r="I11" s="65">
        <v>4000000</v>
      </c>
      <c r="J11" s="65">
        <v>137410669</v>
      </c>
      <c r="K11" s="65">
        <v>0</v>
      </c>
      <c r="L11" s="65">
        <v>14482150</v>
      </c>
      <c r="M11" s="65">
        <v>0</v>
      </c>
      <c r="N11" s="65">
        <v>6974000</v>
      </c>
      <c r="O11" s="65">
        <v>337520655</v>
      </c>
      <c r="P11" s="65">
        <v>0</v>
      </c>
      <c r="Q11" s="54">
        <f t="shared" si="0"/>
        <v>1592831633</v>
      </c>
    </row>
    <row r="12" spans="1:18" x14ac:dyDescent="0.35">
      <c r="B12" s="19"/>
      <c r="C12" s="20">
        <f>SUM(C3:C11)</f>
        <v>333279756238.89001</v>
      </c>
      <c r="D12" s="20">
        <f t="shared" ref="D12:P12" si="1">SUM(D3:D11)</f>
        <v>353468660031</v>
      </c>
      <c r="E12" s="20">
        <f t="shared" si="1"/>
        <v>212830161244</v>
      </c>
      <c r="F12" s="20">
        <f t="shared" si="1"/>
        <v>329396490951</v>
      </c>
      <c r="G12" s="20">
        <f t="shared" si="1"/>
        <v>19590000000</v>
      </c>
      <c r="H12" s="20">
        <f t="shared" si="1"/>
        <v>342343632611</v>
      </c>
      <c r="I12" s="20">
        <f t="shared" si="1"/>
        <v>104262552145</v>
      </c>
      <c r="J12" s="20">
        <f t="shared" si="1"/>
        <v>321245668911</v>
      </c>
      <c r="K12" s="20">
        <f t="shared" si="1"/>
        <v>19744000000</v>
      </c>
      <c r="L12" s="20">
        <f t="shared" si="1"/>
        <v>276849401102</v>
      </c>
      <c r="M12" s="20">
        <f t="shared" si="1"/>
        <v>93381856496</v>
      </c>
      <c r="N12" s="20">
        <f t="shared" si="1"/>
        <v>267792420871</v>
      </c>
      <c r="O12" s="20">
        <f t="shared" si="1"/>
        <v>425284972508</v>
      </c>
      <c r="P12" s="20">
        <f t="shared" si="1"/>
        <v>61714671708</v>
      </c>
      <c r="Q12" s="20">
        <f>SUM(Q3:Q11)</f>
        <v>3161184244816.8901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zoomScale="74" workbookViewId="0">
      <selection activeCell="B22" sqref="B22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29 November 2024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90</v>
      </c>
      <c r="H2" s="45" t="s">
        <v>45</v>
      </c>
      <c r="I2" s="45" t="s">
        <v>46</v>
      </c>
      <c r="J2" s="45" t="s">
        <v>47</v>
      </c>
      <c r="K2" s="45" t="s">
        <v>91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78</v>
      </c>
      <c r="Q2" s="45" t="s">
        <v>71</v>
      </c>
    </row>
    <row r="3" spans="1:17" x14ac:dyDescent="0.35">
      <c r="B3" s="46" t="s">
        <v>53</v>
      </c>
      <c r="C3" s="67">
        <v>0.24926319267169503</v>
      </c>
      <c r="D3" s="67">
        <v>0.24445990966472594</v>
      </c>
      <c r="E3" s="67">
        <v>0.26524526686459704</v>
      </c>
      <c r="F3" s="67">
        <v>0.21549413459161351</v>
      </c>
      <c r="G3" s="67">
        <v>0.29143333869321081</v>
      </c>
      <c r="H3" s="67">
        <v>0.43164909529049572</v>
      </c>
      <c r="I3" s="67">
        <v>0.37252753289890228</v>
      </c>
      <c r="J3" s="67">
        <v>0.36363008449574796</v>
      </c>
      <c r="K3" s="67">
        <v>0.22935029193679093</v>
      </c>
      <c r="L3" s="67">
        <v>0.35172894346310557</v>
      </c>
      <c r="M3" s="67">
        <v>0.50835798024676704</v>
      </c>
      <c r="N3" s="67">
        <v>0.30062886483176882</v>
      </c>
      <c r="O3" s="67">
        <v>0.18735311048288023</v>
      </c>
      <c r="P3" s="67">
        <v>0.16477220081658187</v>
      </c>
      <c r="Q3" s="67">
        <v>0.29285998313027323</v>
      </c>
    </row>
    <row r="4" spans="1:17" x14ac:dyDescent="0.35">
      <c r="B4" s="47" t="s">
        <v>72</v>
      </c>
      <c r="C4" s="67">
        <v>0.42079589941888357</v>
      </c>
      <c r="D4" s="67">
        <v>0.222392499964879</v>
      </c>
      <c r="E4" s="67">
        <v>0.32370673782469939</v>
      </c>
      <c r="F4" s="67">
        <v>0.21901771627230804</v>
      </c>
      <c r="G4" s="67">
        <v>0.25392957386421644</v>
      </c>
      <c r="H4" s="67">
        <v>8.9808490975310476E-2</v>
      </c>
      <c r="I4" s="67">
        <v>0.10922589180593091</v>
      </c>
      <c r="J4" s="67">
        <v>7.4368333642215678E-2</v>
      </c>
      <c r="K4" s="67">
        <v>0.11777803033833063</v>
      </c>
      <c r="L4" s="67">
        <v>9.4329005838731939E-2</v>
      </c>
      <c r="M4" s="67">
        <v>8.2870929754234254E-2</v>
      </c>
      <c r="N4" s="67">
        <v>9.7673656831012035E-2</v>
      </c>
      <c r="O4" s="67">
        <v>0.29982662455627063</v>
      </c>
      <c r="P4" s="67">
        <v>9.3311786348747691E-2</v>
      </c>
      <c r="Q4" s="66">
        <v>0.19818331956821431</v>
      </c>
    </row>
    <row r="5" spans="1:17" x14ac:dyDescent="0.35">
      <c r="B5" s="47" t="s">
        <v>54</v>
      </c>
      <c r="C5" s="67">
        <v>4.3746398486469794E-2</v>
      </c>
      <c r="D5" s="67">
        <v>5.0307990240041234E-2</v>
      </c>
      <c r="E5" s="67">
        <v>4.1599919373502797E-2</v>
      </c>
      <c r="F5" s="67">
        <v>3.8040670909466348E-2</v>
      </c>
      <c r="G5" s="67">
        <v>2.4363410005104644E-2</v>
      </c>
      <c r="H5" s="67">
        <v>4.0182078051473002E-2</v>
      </c>
      <c r="I5" s="67">
        <v>7.8029678370866051E-2</v>
      </c>
      <c r="J5" s="67">
        <v>7.4003247696971405E-2</v>
      </c>
      <c r="K5" s="67">
        <v>3.7471896221636956E-2</v>
      </c>
      <c r="L5" s="67">
        <v>0.10033213512629606</v>
      </c>
      <c r="M5" s="67">
        <v>0.11198070590348483</v>
      </c>
      <c r="N5" s="67">
        <v>0.11817884906923887</v>
      </c>
      <c r="O5" s="67">
        <v>8.4472973754849093E-2</v>
      </c>
      <c r="P5" s="67">
        <v>0.18526008394075147</v>
      </c>
      <c r="Q5" s="66">
        <v>6.8919702116103598E-2</v>
      </c>
    </row>
    <row r="6" spans="1:17" x14ac:dyDescent="0.35">
      <c r="B6" s="47" t="s">
        <v>55</v>
      </c>
      <c r="C6" s="67">
        <v>7.1532070081423435E-3</v>
      </c>
      <c r="D6" s="67">
        <v>1.0806607456132024E-2</v>
      </c>
      <c r="E6" s="67">
        <v>1.0350628154035211E-2</v>
      </c>
      <c r="F6" s="67">
        <v>1.2045265317019476E-2</v>
      </c>
      <c r="G6" s="67">
        <v>2.4895354772843287E-2</v>
      </c>
      <c r="H6" s="67">
        <v>7.2670024443739663E-3</v>
      </c>
      <c r="I6" s="67">
        <v>4.6461260062607302E-3</v>
      </c>
      <c r="J6" s="67">
        <v>1.0873300178150335E-2</v>
      </c>
      <c r="K6" s="67">
        <v>1.0075836203403566E-2</v>
      </c>
      <c r="L6" s="67">
        <v>9.0135918050283717E-3</v>
      </c>
      <c r="M6" s="67">
        <v>6.8613925664183549E-3</v>
      </c>
      <c r="N6" s="67">
        <v>7.7235994217937348E-3</v>
      </c>
      <c r="O6" s="67">
        <v>1.0708185617619806E-2</v>
      </c>
      <c r="P6" s="67">
        <v>3.0759956222110476E-3</v>
      </c>
      <c r="Q6" s="66">
        <v>9.3239108069473817E-3</v>
      </c>
    </row>
    <row r="7" spans="1:17" x14ac:dyDescent="0.35">
      <c r="B7" s="47" t="s">
        <v>56</v>
      </c>
      <c r="C7" s="67">
        <v>8.8237970914203465E-3</v>
      </c>
      <c r="D7" s="67">
        <v>1.8066126053268627E-2</v>
      </c>
      <c r="E7" s="67">
        <v>1.9653838579788807E-2</v>
      </c>
      <c r="F7" s="67">
        <v>3.4784754867666315E-2</v>
      </c>
      <c r="G7" s="67">
        <v>1.6548602960694232E-2</v>
      </c>
      <c r="H7" s="67">
        <v>2.8565958874170613E-2</v>
      </c>
      <c r="I7" s="67">
        <v>3.9733850973056858E-2</v>
      </c>
      <c r="J7" s="67">
        <v>2.8823776256312161E-2</v>
      </c>
      <c r="K7" s="67">
        <v>7.1275744378038894E-2</v>
      </c>
      <c r="L7" s="67">
        <v>3.0073128928072127E-2</v>
      </c>
      <c r="M7" s="67">
        <v>2.5698526170367945E-2</v>
      </c>
      <c r="N7" s="67">
        <v>2.5702307412634347E-2</v>
      </c>
      <c r="O7" s="67">
        <v>2.3391516966456811E-2</v>
      </c>
      <c r="P7" s="67">
        <v>1.6993382561638952E-2</v>
      </c>
      <c r="Q7" s="66">
        <v>2.4827971490246448E-2</v>
      </c>
    </row>
    <row r="8" spans="1:17" x14ac:dyDescent="0.35">
      <c r="B8" s="47" t="s">
        <v>57</v>
      </c>
      <c r="C8" s="67">
        <v>4.7767602599597427E-2</v>
      </c>
      <c r="D8" s="67">
        <v>0.14540828255747579</v>
      </c>
      <c r="E8" s="67">
        <v>9.2470496047020317E-2</v>
      </c>
      <c r="F8" s="67">
        <v>0.15359988839567326</v>
      </c>
      <c r="G8" s="67">
        <v>5.0763905053598777E-4</v>
      </c>
      <c r="H8" s="67">
        <v>0.1495144639280063</v>
      </c>
      <c r="I8" s="67">
        <v>0.14737338799870214</v>
      </c>
      <c r="J8" s="67">
        <v>0.18657645708713136</v>
      </c>
      <c r="K8" s="67">
        <v>1.484339348662885E-2</v>
      </c>
      <c r="L8" s="67">
        <v>0.15389995513229304</v>
      </c>
      <c r="M8" s="67">
        <v>9.7216610020907715E-2</v>
      </c>
      <c r="N8" s="67">
        <v>0.19327719641077057</v>
      </c>
      <c r="O8" s="67">
        <v>0.16441156611684582</v>
      </c>
      <c r="P8" s="67">
        <v>0.11158116443658163</v>
      </c>
      <c r="Q8" s="66">
        <v>0.14065465260449103</v>
      </c>
    </row>
    <row r="9" spans="1:17" x14ac:dyDescent="0.35">
      <c r="B9" s="47" t="s">
        <v>5</v>
      </c>
      <c r="C9" s="67">
        <v>0.21593409398114027</v>
      </c>
      <c r="D9" s="67">
        <v>0.29303314127169289</v>
      </c>
      <c r="E9" s="67">
        <v>0.23513474175132124</v>
      </c>
      <c r="F9" s="67">
        <v>0.31668572309265308</v>
      </c>
      <c r="G9" s="67">
        <v>0.38682170387953035</v>
      </c>
      <c r="H9" s="67">
        <v>0.22903302788252483</v>
      </c>
      <c r="I9" s="67">
        <v>0.20307450700261198</v>
      </c>
      <c r="J9" s="67">
        <v>0.24270186214899744</v>
      </c>
      <c r="K9" s="67">
        <v>0.48097234689019447</v>
      </c>
      <c r="L9" s="67">
        <v>0.24302518865558764</v>
      </c>
      <c r="M9" s="67">
        <v>0.15208820920805266</v>
      </c>
      <c r="N9" s="67">
        <v>0.25002317408099084</v>
      </c>
      <c r="O9" s="67">
        <v>0.22240174625413264</v>
      </c>
      <c r="P9" s="67">
        <v>0.4235966826282449</v>
      </c>
      <c r="Q9" s="66">
        <v>0.25107356132826547</v>
      </c>
    </row>
    <row r="10" spans="1:17" x14ac:dyDescent="0.35">
      <c r="B10" s="47" t="s">
        <v>58</v>
      </c>
      <c r="C10" s="67">
        <v>5.9263085245245565E-3</v>
      </c>
      <c r="D10" s="67">
        <v>1.5100505242902962E-2</v>
      </c>
      <c r="E10" s="67">
        <v>1.1837372148168799E-2</v>
      </c>
      <c r="F10" s="67">
        <v>1.0300280980542425E-2</v>
      </c>
      <c r="G10" s="67">
        <v>1.5003767738642165E-3</v>
      </c>
      <c r="H10" s="67">
        <v>2.1832439946364707E-2</v>
      </c>
      <c r="I10" s="67">
        <v>4.5350660258384565E-2</v>
      </c>
      <c r="J10" s="67">
        <v>1.8595195236593125E-2</v>
      </c>
      <c r="K10" s="67">
        <v>3.8232460544975685E-2</v>
      </c>
      <c r="L10" s="67">
        <v>1.7545740480797843E-2</v>
      </c>
      <c r="M10" s="67">
        <v>1.4925646129767217E-2</v>
      </c>
      <c r="N10" s="67">
        <v>6.7663093824931438E-3</v>
      </c>
      <c r="O10" s="67">
        <v>6.6406421542366508E-3</v>
      </c>
      <c r="P10" s="67">
        <v>1.4087036452424388E-3</v>
      </c>
      <c r="Q10" s="66">
        <v>1.3653027143617187E-2</v>
      </c>
    </row>
    <row r="11" spans="1:17" x14ac:dyDescent="0.35">
      <c r="B11" s="47" t="s">
        <v>59</v>
      </c>
      <c r="C11" s="67">
        <v>5.8950021812658273E-4</v>
      </c>
      <c r="D11" s="67">
        <v>4.2493754888149615E-4</v>
      </c>
      <c r="E11" s="67">
        <v>9.9925686639959513E-7</v>
      </c>
      <c r="F11" s="67">
        <v>3.1565573057506287E-5</v>
      </c>
      <c r="G11" s="67">
        <v>0</v>
      </c>
      <c r="H11" s="67">
        <v>2.147442607280373E-3</v>
      </c>
      <c r="I11" s="67">
        <v>3.8364685284483741E-5</v>
      </c>
      <c r="J11" s="67">
        <v>4.2774325788052614E-4</v>
      </c>
      <c r="K11" s="67">
        <v>0</v>
      </c>
      <c r="L11" s="67">
        <v>5.2310570087396803E-5</v>
      </c>
      <c r="M11" s="67">
        <v>0</v>
      </c>
      <c r="N11" s="67">
        <v>2.6042559297671425E-5</v>
      </c>
      <c r="O11" s="67">
        <v>7.9363409670829815E-4</v>
      </c>
      <c r="P11" s="67">
        <v>0</v>
      </c>
      <c r="Q11" s="66">
        <v>5.0387181184128162E-4</v>
      </c>
    </row>
    <row r="12" spans="1:17" ht="15" thickBot="1" x14ac:dyDescent="0.4">
      <c r="A12" s="17"/>
      <c r="B12" s="48"/>
      <c r="C12" s="49">
        <f>SUM(C3:C11)</f>
        <v>0.99999999999999989</v>
      </c>
      <c r="D12" s="49">
        <f t="shared" ref="D12:P12" si="0">SUM(D3:D11)</f>
        <v>0.99999999999999989</v>
      </c>
      <c r="E12" s="49">
        <f t="shared" si="0"/>
        <v>0.99999999999999989</v>
      </c>
      <c r="F12" s="49">
        <f t="shared" si="0"/>
        <v>1</v>
      </c>
      <c r="G12" s="49">
        <f t="shared" si="0"/>
        <v>1</v>
      </c>
      <c r="H12" s="49">
        <f t="shared" si="0"/>
        <v>0.99999999999999989</v>
      </c>
      <c r="I12" s="49">
        <f t="shared" si="0"/>
        <v>0.99999999999999989</v>
      </c>
      <c r="J12" s="49">
        <f t="shared" si="0"/>
        <v>1</v>
      </c>
      <c r="K12" s="49">
        <f t="shared" si="0"/>
        <v>0.99999999999999989</v>
      </c>
      <c r="L12" s="49">
        <f t="shared" si="0"/>
        <v>0.99999999999999989</v>
      </c>
      <c r="M12" s="49">
        <f t="shared" si="0"/>
        <v>1.0000000000000002</v>
      </c>
      <c r="N12" s="49">
        <f t="shared" si="0"/>
        <v>1</v>
      </c>
      <c r="O12" s="49">
        <f t="shared" si="0"/>
        <v>1</v>
      </c>
      <c r="P12" s="49">
        <f t="shared" si="0"/>
        <v>1</v>
      </c>
      <c r="Q12" s="49">
        <f>SUM(Q3:Q11)</f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F18" sqref="F18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29 November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64">
        <v>1103158803</v>
      </c>
      <c r="D3" s="64">
        <v>102760432</v>
      </c>
      <c r="E3" s="64">
        <v>1608421624</v>
      </c>
      <c r="F3" s="64">
        <v>189800000</v>
      </c>
      <c r="G3" s="64">
        <v>12438316503</v>
      </c>
      <c r="H3" s="64">
        <v>191556358</v>
      </c>
      <c r="I3" s="64">
        <v>4094160836</v>
      </c>
      <c r="J3" s="64">
        <v>68400000</v>
      </c>
      <c r="K3" s="64">
        <v>5204703937</v>
      </c>
      <c r="L3" s="64">
        <v>2577257869</v>
      </c>
      <c r="M3" s="64">
        <v>5000000</v>
      </c>
      <c r="N3" s="20">
        <f>SUM(C3:M3)</f>
        <v>27583536362</v>
      </c>
    </row>
    <row r="4" spans="1:14" x14ac:dyDescent="0.35">
      <c r="B4" s="18" t="s">
        <v>72</v>
      </c>
      <c r="C4" s="64">
        <v>8873310697</v>
      </c>
      <c r="D4" s="64">
        <v>1866256830</v>
      </c>
      <c r="E4" s="64">
        <v>4787439740</v>
      </c>
      <c r="F4" s="64">
        <v>259888611</v>
      </c>
      <c r="G4" s="64">
        <v>3937910377</v>
      </c>
      <c r="H4" s="64">
        <v>4250393697.9699998</v>
      </c>
      <c r="I4" s="64">
        <v>7833219193.8900003</v>
      </c>
      <c r="J4" s="64">
        <v>33114840</v>
      </c>
      <c r="K4" s="64">
        <v>16322489642.990002</v>
      </c>
      <c r="L4" s="64">
        <v>14932147576.440001</v>
      </c>
      <c r="M4" s="64">
        <v>84145726</v>
      </c>
      <c r="N4" s="20">
        <f t="shared" ref="N4:N11" si="0">SUM(C4:M4)</f>
        <v>63180316932.290009</v>
      </c>
    </row>
    <row r="5" spans="1:14" x14ac:dyDescent="0.35">
      <c r="B5" s="18" t="s">
        <v>54</v>
      </c>
      <c r="C5" s="64">
        <v>4215090445.3000002</v>
      </c>
      <c r="D5" s="64">
        <v>1744818291</v>
      </c>
      <c r="E5" s="64">
        <v>2943623152</v>
      </c>
      <c r="F5" s="64">
        <v>136654627</v>
      </c>
      <c r="G5" s="64">
        <v>3116897652</v>
      </c>
      <c r="H5" s="64">
        <v>1667702488</v>
      </c>
      <c r="I5" s="64">
        <v>5446477474</v>
      </c>
      <c r="J5" s="64">
        <v>64641744</v>
      </c>
      <c r="K5" s="64">
        <v>6850922015</v>
      </c>
      <c r="L5" s="64">
        <v>6996663581</v>
      </c>
      <c r="M5" s="64">
        <v>135229831</v>
      </c>
      <c r="N5" s="20">
        <f t="shared" si="0"/>
        <v>33318721300.299999</v>
      </c>
    </row>
    <row r="6" spans="1:14" x14ac:dyDescent="0.35">
      <c r="B6" s="18" t="s">
        <v>55</v>
      </c>
      <c r="C6" s="64">
        <v>937891892.70000005</v>
      </c>
      <c r="D6" s="64">
        <v>187493276</v>
      </c>
      <c r="E6" s="64">
        <v>1930054741</v>
      </c>
      <c r="F6" s="64">
        <v>17500000</v>
      </c>
      <c r="G6" s="64">
        <v>1810566969</v>
      </c>
      <c r="H6" s="64">
        <v>400415284</v>
      </c>
      <c r="I6" s="64">
        <v>1380771890.22</v>
      </c>
      <c r="J6" s="64">
        <v>63578229</v>
      </c>
      <c r="K6" s="64">
        <v>1703360346</v>
      </c>
      <c r="L6" s="64">
        <v>3249910495.8099999</v>
      </c>
      <c r="M6" s="64">
        <v>134592600</v>
      </c>
      <c r="N6" s="20">
        <f>SUM(C6:M6)</f>
        <v>11816135723.73</v>
      </c>
    </row>
    <row r="7" spans="1:14" x14ac:dyDescent="0.35">
      <c r="B7" s="18" t="s">
        <v>56</v>
      </c>
      <c r="C7" s="64">
        <v>1630583037</v>
      </c>
      <c r="D7" s="64">
        <v>2536324818.75</v>
      </c>
      <c r="E7" s="64">
        <v>6373544342</v>
      </c>
      <c r="F7" s="64">
        <v>100630000</v>
      </c>
      <c r="G7" s="64">
        <v>8087411723</v>
      </c>
      <c r="H7" s="64">
        <v>3184807132.6399999</v>
      </c>
      <c r="I7" s="64">
        <v>10862283201</v>
      </c>
      <c r="J7" s="64">
        <v>737258149</v>
      </c>
      <c r="K7" s="64">
        <v>11583449200</v>
      </c>
      <c r="L7" s="64">
        <v>16017237059.110001</v>
      </c>
      <c r="M7" s="64">
        <v>558605483</v>
      </c>
      <c r="N7" s="20">
        <f t="shared" si="0"/>
        <v>61672134145.5</v>
      </c>
    </row>
    <row r="8" spans="1:14" x14ac:dyDescent="0.35">
      <c r="B8" s="18" t="s">
        <v>57</v>
      </c>
      <c r="C8" s="64">
        <v>445377229</v>
      </c>
      <c r="D8" s="64">
        <v>19590532590</v>
      </c>
      <c r="E8" s="64">
        <v>35189141441</v>
      </c>
      <c r="F8" s="64">
        <v>1450000000</v>
      </c>
      <c r="G8" s="64">
        <v>43986209765</v>
      </c>
      <c r="H8" s="64">
        <v>23134180306</v>
      </c>
      <c r="I8" s="64">
        <v>57638773877</v>
      </c>
      <c r="J8" s="64">
        <v>7847431000</v>
      </c>
      <c r="K8" s="64">
        <v>52297967060</v>
      </c>
      <c r="L8" s="64">
        <v>60151403192</v>
      </c>
      <c r="M8" s="64">
        <v>2539643000</v>
      </c>
      <c r="N8" s="20">
        <f t="shared" si="0"/>
        <v>304270659460</v>
      </c>
    </row>
    <row r="9" spans="1:14" x14ac:dyDescent="0.35">
      <c r="B9" s="18" t="s">
        <v>5</v>
      </c>
      <c r="C9" s="64">
        <v>11666125177</v>
      </c>
      <c r="D9" s="64">
        <v>5300577486.0200005</v>
      </c>
      <c r="E9" s="64">
        <v>26408701788</v>
      </c>
      <c r="F9" s="64">
        <v>3644324839</v>
      </c>
      <c r="G9" s="64">
        <v>14022428332</v>
      </c>
      <c r="H9" s="64">
        <v>4716903054.3899994</v>
      </c>
      <c r="I9" s="64">
        <v>7186783481.8899994</v>
      </c>
      <c r="J9" s="64">
        <v>1295448579</v>
      </c>
      <c r="K9" s="64">
        <v>12229460891.009998</v>
      </c>
      <c r="L9" s="64">
        <v>12390242740.639999</v>
      </c>
      <c r="M9" s="64">
        <v>942710191</v>
      </c>
      <c r="N9" s="20">
        <f t="shared" si="0"/>
        <v>99803706559.949997</v>
      </c>
    </row>
    <row r="10" spans="1:14" x14ac:dyDescent="0.35">
      <c r="B10" s="18" t="s">
        <v>58</v>
      </c>
      <c r="C10" s="64">
        <v>1533462719</v>
      </c>
      <c r="D10" s="64">
        <v>578753838.23000002</v>
      </c>
      <c r="E10" s="64">
        <v>362346703</v>
      </c>
      <c r="F10" s="64">
        <v>6201923</v>
      </c>
      <c r="G10" s="64">
        <v>451601751</v>
      </c>
      <c r="H10" s="64">
        <v>391426678</v>
      </c>
      <c r="I10" s="64">
        <v>954283883</v>
      </c>
      <c r="J10" s="64">
        <v>25074875</v>
      </c>
      <c r="K10" s="64">
        <v>2748360122</v>
      </c>
      <c r="L10" s="64">
        <v>3025463389</v>
      </c>
      <c r="M10" s="64">
        <v>32000000</v>
      </c>
      <c r="N10" s="20">
        <f t="shared" si="0"/>
        <v>10108975881.23</v>
      </c>
    </row>
    <row r="11" spans="1:14" x14ac:dyDescent="0.35">
      <c r="B11" s="18" t="s">
        <v>59</v>
      </c>
      <c r="C11" s="65">
        <v>0</v>
      </c>
      <c r="D11" s="65">
        <v>300000</v>
      </c>
      <c r="E11" s="65">
        <v>0</v>
      </c>
      <c r="F11" s="65">
        <v>0</v>
      </c>
      <c r="G11" s="65">
        <v>0</v>
      </c>
      <c r="H11" s="65">
        <v>3800000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20">
        <f t="shared" si="0"/>
        <v>4100000</v>
      </c>
    </row>
    <row r="12" spans="1:14" x14ac:dyDescent="0.35">
      <c r="A12" s="17"/>
      <c r="B12" s="18"/>
      <c r="C12" s="33">
        <f>SUM(C3:C11)</f>
        <v>30405000000</v>
      </c>
      <c r="D12" s="33">
        <f t="shared" ref="D12:N12" si="1">SUM(D3:D11)</f>
        <v>31907817562</v>
      </c>
      <c r="E12" s="33">
        <f t="shared" si="1"/>
        <v>79603273531</v>
      </c>
      <c r="F12" s="33">
        <f t="shared" si="1"/>
        <v>5805000000</v>
      </c>
      <c r="G12" s="33">
        <f t="shared" si="1"/>
        <v>87851343072</v>
      </c>
      <c r="H12" s="33">
        <f t="shared" si="1"/>
        <v>37941184999</v>
      </c>
      <c r="I12" s="33">
        <f t="shared" si="1"/>
        <v>95396753837</v>
      </c>
      <c r="J12" s="33">
        <f t="shared" si="1"/>
        <v>10134947416</v>
      </c>
      <c r="K12" s="33">
        <f t="shared" si="1"/>
        <v>108940713214</v>
      </c>
      <c r="L12" s="33">
        <f t="shared" si="1"/>
        <v>119340325903</v>
      </c>
      <c r="M12" s="33">
        <f t="shared" si="1"/>
        <v>4431926831</v>
      </c>
      <c r="N12" s="33">
        <f t="shared" si="1"/>
        <v>611758286365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A4" zoomScale="85" zoomScaleNormal="73" workbookViewId="0">
      <selection activeCell="B20" sqref="B20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29 November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68">
        <v>3.6282151060680806E-2</v>
      </c>
      <c r="D3" s="68">
        <v>3.2205409160412325E-3</v>
      </c>
      <c r="E3" s="68">
        <v>2.0205470863878864E-2</v>
      </c>
      <c r="F3" s="68">
        <v>3.2695951765719204E-2</v>
      </c>
      <c r="G3" s="68">
        <v>0.14158368065933807</v>
      </c>
      <c r="H3" s="68">
        <v>5.0487710914946058E-3</v>
      </c>
      <c r="I3" s="68">
        <v>4.2917192371089506E-2</v>
      </c>
      <c r="J3" s="68">
        <v>6.7489250010332761E-3</v>
      </c>
      <c r="K3" s="68">
        <v>4.7775563271520258E-2</v>
      </c>
      <c r="L3" s="68">
        <v>2.1595867528422866E-2</v>
      </c>
      <c r="M3" s="68">
        <v>1.12817747013026E-3</v>
      </c>
      <c r="N3" s="68">
        <v>4.5088946037655363E-2</v>
      </c>
    </row>
    <row r="4" spans="1:14" x14ac:dyDescent="0.35">
      <c r="B4" s="18" t="s">
        <v>72</v>
      </c>
      <c r="C4" s="68">
        <v>0.29183722075316559</v>
      </c>
      <c r="D4" s="68">
        <v>5.8489015313368926E-2</v>
      </c>
      <c r="E4" s="68">
        <v>6.0141242032409906E-2</v>
      </c>
      <c r="F4" s="68">
        <v>4.4769786563307497E-2</v>
      </c>
      <c r="G4" s="68">
        <v>4.4824703178101916E-2</v>
      </c>
      <c r="H4" s="68">
        <v>0.11202585523045802</v>
      </c>
      <c r="I4" s="68">
        <v>8.2112009883211101E-2</v>
      </c>
      <c r="J4" s="68">
        <v>3.26739139738621E-3</v>
      </c>
      <c r="K4" s="68">
        <v>0.14982910577174735</v>
      </c>
      <c r="L4" s="68">
        <v>0.12512239650306362</v>
      </c>
      <c r="M4" s="68">
        <v>1.8986262456190808E-2</v>
      </c>
      <c r="N4" s="68">
        <v>0.10327660178941009</v>
      </c>
    </row>
    <row r="5" spans="1:14" x14ac:dyDescent="0.35">
      <c r="B5" s="18" t="s">
        <v>54</v>
      </c>
      <c r="C5" s="68">
        <v>0.138631489731952</v>
      </c>
      <c r="D5" s="68">
        <v>5.4683097256954284E-2</v>
      </c>
      <c r="E5" s="68">
        <v>3.6978669612797534E-2</v>
      </c>
      <c r="F5" s="68">
        <v>2.3540848751076659E-2</v>
      </c>
      <c r="G5" s="68">
        <v>3.5479225962948523E-2</v>
      </c>
      <c r="H5" s="68">
        <v>4.3954939415939566E-2</v>
      </c>
      <c r="I5" s="68">
        <v>5.7092901539460589E-2</v>
      </c>
      <c r="J5" s="68">
        <v>6.3781035408186082E-3</v>
      </c>
      <c r="K5" s="68">
        <v>6.2886700599639425E-2</v>
      </c>
      <c r="L5" s="68">
        <v>5.8627823646860984E-2</v>
      </c>
      <c r="M5" s="68">
        <v>3.0512649724744521E-2</v>
      </c>
      <c r="N5" s="68">
        <v>5.4463865946591673E-2</v>
      </c>
    </row>
    <row r="6" spans="1:14" x14ac:dyDescent="0.35">
      <c r="B6" s="18" t="s">
        <v>55</v>
      </c>
      <c r="C6" s="68">
        <v>3.0846633537247165E-2</v>
      </c>
      <c r="D6" s="68">
        <v>5.8760921406073065E-3</v>
      </c>
      <c r="E6" s="68">
        <v>2.4245921749039334E-2</v>
      </c>
      <c r="F6" s="68">
        <v>3.0146425495262705E-3</v>
      </c>
      <c r="G6" s="68">
        <v>2.060943982969185E-2</v>
      </c>
      <c r="H6" s="68">
        <v>1.0553578756450374E-2</v>
      </c>
      <c r="I6" s="68">
        <v>1.4473992402081739E-2</v>
      </c>
      <c r="J6" s="68">
        <v>6.2731681172444277E-3</v>
      </c>
      <c r="K6" s="68">
        <v>1.5635663616906638E-2</v>
      </c>
      <c r="L6" s="68">
        <v>2.7232291107127795E-2</v>
      </c>
      <c r="M6" s="68">
        <v>3.0368867793250803E-2</v>
      </c>
      <c r="N6" s="68">
        <v>1.9315039921960306E-2</v>
      </c>
    </row>
    <row r="7" spans="1:14" x14ac:dyDescent="0.35">
      <c r="B7" s="18" t="s">
        <v>56</v>
      </c>
      <c r="C7" s="68">
        <v>5.3628779378391715E-2</v>
      </c>
      <c r="D7" s="68">
        <v>7.948913503161642E-2</v>
      </c>
      <c r="E7" s="68">
        <v>8.0066359827751843E-2</v>
      </c>
      <c r="F7" s="68">
        <v>1.7335055986218775E-2</v>
      </c>
      <c r="G7" s="68">
        <v>9.2057917843917647E-2</v>
      </c>
      <c r="H7" s="68">
        <v>8.3940634240178336E-2</v>
      </c>
      <c r="I7" s="68">
        <v>0.11386428535671013</v>
      </c>
      <c r="J7" s="68">
        <v>7.2744151374292632E-2</v>
      </c>
      <c r="K7" s="68">
        <v>0.10632800959587814</v>
      </c>
      <c r="L7" s="68">
        <v>0.13421479234210265</v>
      </c>
      <c r="M7" s="68">
        <v>0.12604122412236637</v>
      </c>
      <c r="N7" s="68">
        <v>0.10081127713357017</v>
      </c>
    </row>
    <row r="8" spans="1:14" x14ac:dyDescent="0.35">
      <c r="B8" s="18" t="s">
        <v>57</v>
      </c>
      <c r="C8" s="68">
        <v>1.4648157506988982E-2</v>
      </c>
      <c r="D8" s="68">
        <v>0.61397281565665485</v>
      </c>
      <c r="E8" s="68">
        <v>0.44205646175211938</v>
      </c>
      <c r="F8" s="68">
        <v>0.24978466838931956</v>
      </c>
      <c r="G8" s="68">
        <v>0.50068909850302901</v>
      </c>
      <c r="H8" s="68">
        <v>0.60973794852769458</v>
      </c>
      <c r="I8" s="68">
        <v>0.604200578727078</v>
      </c>
      <c r="J8" s="68">
        <v>0.77429419985063686</v>
      </c>
      <c r="K8" s="68">
        <v>0.48005897443747575</v>
      </c>
      <c r="L8" s="68">
        <v>0.50403250315313497</v>
      </c>
      <c r="M8" s="68">
        <v>0.57303360295480477</v>
      </c>
      <c r="N8" s="68">
        <v>0.49737072017110312</v>
      </c>
    </row>
    <row r="9" spans="1:14" x14ac:dyDescent="0.35">
      <c r="B9" s="18" t="s">
        <v>5</v>
      </c>
      <c r="C9" s="68">
        <v>0.38369101059036342</v>
      </c>
      <c r="D9" s="68">
        <v>0.16612159310866254</v>
      </c>
      <c r="E9" s="68">
        <v>0.33175396709930061</v>
      </c>
      <c r="F9" s="68">
        <v>0.62779066993970711</v>
      </c>
      <c r="G9" s="68">
        <v>0.15961541214580738</v>
      </c>
      <c r="H9" s="68">
        <v>0.12432144790718373</v>
      </c>
      <c r="I9" s="68">
        <v>7.5335723626086093E-2</v>
      </c>
      <c r="J9" s="68">
        <v>0.12781996056090836</v>
      </c>
      <c r="K9" s="68">
        <v>0.11225794774251935</v>
      </c>
      <c r="L9" s="68">
        <v>0.10382276608420533</v>
      </c>
      <c r="M9" s="68">
        <v>0.21270887966967883</v>
      </c>
      <c r="N9" s="68">
        <v>0.1631423861096718</v>
      </c>
    </row>
    <row r="10" spans="1:14" x14ac:dyDescent="0.35">
      <c r="B10" s="18" t="s">
        <v>58</v>
      </c>
      <c r="C10" s="68">
        <v>5.043455744121033E-2</v>
      </c>
      <c r="D10" s="68">
        <v>1.8138308491498202E-2</v>
      </c>
      <c r="E10" s="68">
        <v>4.5519070627025263E-3</v>
      </c>
      <c r="F10" s="68">
        <v>1.0683760551248923E-3</v>
      </c>
      <c r="G10" s="68">
        <v>5.1405218771656391E-3</v>
      </c>
      <c r="H10" s="68">
        <v>1.0316669814353892E-2</v>
      </c>
      <c r="I10" s="68">
        <v>1.0003316094282837E-2</v>
      </c>
      <c r="J10" s="68">
        <v>2.4741001576795946E-3</v>
      </c>
      <c r="K10" s="68">
        <v>2.5228034964313115E-2</v>
      </c>
      <c r="L10" s="68">
        <v>2.5351559635081785E-2</v>
      </c>
      <c r="M10" s="68">
        <v>7.2203358088336637E-3</v>
      </c>
      <c r="N10" s="68">
        <v>1.6524460896633564E-2</v>
      </c>
    </row>
    <row r="11" spans="1:14" x14ac:dyDescent="0.35">
      <c r="B11" s="18" t="s">
        <v>59</v>
      </c>
      <c r="C11" s="68">
        <v>0</v>
      </c>
      <c r="D11" s="68">
        <v>9.4020845962614255E-6</v>
      </c>
      <c r="E11" s="68">
        <v>0</v>
      </c>
      <c r="F11" s="68">
        <v>0</v>
      </c>
      <c r="G11" s="68">
        <v>0</v>
      </c>
      <c r="H11" s="68">
        <v>1.001550162468609E-4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6.701993403900985E-6</v>
      </c>
    </row>
    <row r="12" spans="1:14" x14ac:dyDescent="0.35">
      <c r="B12" s="23"/>
      <c r="C12" s="21">
        <f>SUM(C3:C11)</f>
        <v>0.99999999999999989</v>
      </c>
      <c r="D12" s="21">
        <f t="shared" ref="D12:N12" si="0">SUM(D3:D11)</f>
        <v>0.99999999999999989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0.99999999999999989</v>
      </c>
      <c r="I12" s="21">
        <f t="shared" si="0"/>
        <v>1</v>
      </c>
      <c r="J12" s="21">
        <f t="shared" si="0"/>
        <v>1</v>
      </c>
      <c r="K12" s="21">
        <f t="shared" si="0"/>
        <v>1</v>
      </c>
      <c r="L12" s="21">
        <f t="shared" si="0"/>
        <v>1</v>
      </c>
      <c r="M12" s="21">
        <f t="shared" si="0"/>
        <v>1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B16" sqref="B16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29 November 2024</v>
      </c>
    </row>
    <row r="2" spans="1:13" x14ac:dyDescent="0.35">
      <c r="A2" s="17"/>
      <c r="B2" s="18" t="s">
        <v>40</v>
      </c>
      <c r="C2" s="18" t="s">
        <v>76</v>
      </c>
      <c r="D2" s="53" t="s">
        <v>80</v>
      </c>
      <c r="E2" s="53" t="s">
        <v>52</v>
      </c>
      <c r="K2" s="15"/>
      <c r="L2" s="15"/>
    </row>
    <row r="3" spans="1:13" x14ac:dyDescent="0.35">
      <c r="B3" s="18" t="s">
        <v>53</v>
      </c>
      <c r="C3" s="64">
        <v>314814011</v>
      </c>
      <c r="D3" s="64">
        <v>493070000</v>
      </c>
      <c r="E3" s="54">
        <f>SUM(C3:D3)</f>
        <v>807884011</v>
      </c>
      <c r="K3" s="15"/>
      <c r="L3" s="15"/>
      <c r="M3" s="50"/>
    </row>
    <row r="4" spans="1:13" x14ac:dyDescent="0.35">
      <c r="B4" s="18" t="s">
        <v>72</v>
      </c>
      <c r="C4" s="64">
        <v>52512300000</v>
      </c>
      <c r="D4" s="64">
        <v>37069158000</v>
      </c>
      <c r="E4" s="54">
        <f t="shared" ref="E4:E11" si="0">SUM(C4:D4)</f>
        <v>89581458000</v>
      </c>
      <c r="K4" s="15"/>
      <c r="L4" s="15"/>
      <c r="M4" s="50"/>
    </row>
    <row r="5" spans="1:13" x14ac:dyDescent="0.35">
      <c r="B5" s="18" t="s">
        <v>54</v>
      </c>
      <c r="C5" s="64">
        <v>1422250000</v>
      </c>
      <c r="D5" s="64">
        <v>6528180000</v>
      </c>
      <c r="E5" s="54">
        <f t="shared" si="0"/>
        <v>7950430000</v>
      </c>
      <c r="K5" s="15"/>
      <c r="L5" s="15"/>
      <c r="M5" s="50"/>
    </row>
    <row r="6" spans="1:13" x14ac:dyDescent="0.35">
      <c r="B6" s="18" t="s">
        <v>55</v>
      </c>
      <c r="C6" s="64">
        <v>1360500000</v>
      </c>
      <c r="D6" s="64">
        <v>571400000</v>
      </c>
      <c r="E6" s="54">
        <f t="shared" si="0"/>
        <v>1931900000</v>
      </c>
      <c r="K6" s="15"/>
      <c r="L6" s="15"/>
      <c r="M6" s="50"/>
    </row>
    <row r="7" spans="1:13" x14ac:dyDescent="0.35">
      <c r="B7" s="18" t="s">
        <v>56</v>
      </c>
      <c r="C7" s="64">
        <v>65300000</v>
      </c>
      <c r="D7" s="64">
        <v>776911000</v>
      </c>
      <c r="E7" s="54">
        <f t="shared" si="0"/>
        <v>842211000</v>
      </c>
      <c r="K7" s="15"/>
      <c r="L7" s="15"/>
      <c r="M7" s="50"/>
    </row>
    <row r="8" spans="1:13" x14ac:dyDescent="0.35">
      <c r="B8" s="18" t="s">
        <v>57</v>
      </c>
      <c r="C8" s="64">
        <v>54950000</v>
      </c>
      <c r="D8" s="64">
        <v>210862000</v>
      </c>
      <c r="E8" s="54">
        <f t="shared" si="0"/>
        <v>265812000</v>
      </c>
      <c r="K8" s="15"/>
      <c r="L8" s="15"/>
      <c r="M8" s="50"/>
    </row>
    <row r="9" spans="1:13" x14ac:dyDescent="0.35">
      <c r="B9" s="18" t="s">
        <v>5</v>
      </c>
      <c r="C9" s="64">
        <v>15298787386</v>
      </c>
      <c r="D9" s="64">
        <v>38288319000</v>
      </c>
      <c r="E9" s="54">
        <f t="shared" si="0"/>
        <v>53587106386</v>
      </c>
      <c r="K9" s="15"/>
      <c r="L9" s="15"/>
      <c r="M9" s="50"/>
    </row>
    <row r="10" spans="1:13" x14ac:dyDescent="0.35">
      <c r="B10" s="18" t="s">
        <v>58</v>
      </c>
      <c r="C10" s="64">
        <v>46098603</v>
      </c>
      <c r="D10" s="64">
        <v>532100000</v>
      </c>
      <c r="E10" s="54">
        <f t="shared" si="0"/>
        <v>578198603</v>
      </c>
      <c r="K10" s="15"/>
      <c r="L10" s="15"/>
      <c r="M10" s="50"/>
    </row>
    <row r="11" spans="1:13" x14ac:dyDescent="0.35">
      <c r="B11" s="19" t="s">
        <v>59</v>
      </c>
      <c r="C11" s="65">
        <v>0</v>
      </c>
      <c r="D11" s="65">
        <v>0</v>
      </c>
      <c r="E11" s="54">
        <f t="shared" si="0"/>
        <v>0</v>
      </c>
      <c r="K11" s="15"/>
      <c r="L11" s="15"/>
      <c r="M11" s="50"/>
    </row>
    <row r="12" spans="1:13" x14ac:dyDescent="0.35">
      <c r="B12" s="19"/>
      <c r="C12" s="20">
        <f>SUM(C3:C11)</f>
        <v>71075000000</v>
      </c>
      <c r="D12" s="20">
        <f t="shared" ref="D12:E12" si="1">SUM(D3:D11)</f>
        <v>84470000000</v>
      </c>
      <c r="E12" s="20">
        <f t="shared" si="1"/>
        <v>155545000000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D18" sqref="D18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29 November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67">
        <v>4.4293212944073162E-3</v>
      </c>
      <c r="D4" s="70">
        <v>5.8372203149047001E-3</v>
      </c>
      <c r="E4" s="69">
        <v>5.1938925134205538E-3</v>
      </c>
    </row>
    <row r="5" spans="1:5" ht="13" x14ac:dyDescent="0.3">
      <c r="B5" s="18" t="s">
        <v>72</v>
      </c>
      <c r="C5" s="67">
        <v>0.73882940555750964</v>
      </c>
      <c r="D5" s="70">
        <v>0.43884406298093998</v>
      </c>
      <c r="E5" s="69">
        <v>0.57591988170625863</v>
      </c>
    </row>
    <row r="6" spans="1:5" ht="13" x14ac:dyDescent="0.3">
      <c r="B6" s="18" t="s">
        <v>54</v>
      </c>
      <c r="C6" s="67">
        <v>2.0010552233556102E-2</v>
      </c>
      <c r="D6" s="70">
        <v>7.7284006156031732E-2</v>
      </c>
      <c r="E6" s="69">
        <v>5.1113375550483786E-2</v>
      </c>
    </row>
    <row r="7" spans="1:5" ht="13" x14ac:dyDescent="0.3">
      <c r="B7" s="18" t="s">
        <v>55</v>
      </c>
      <c r="C7" s="67">
        <v>1.9141751670770313E-2</v>
      </c>
      <c r="D7" s="70">
        <v>6.7645317864330531E-3</v>
      </c>
      <c r="E7" s="69">
        <v>1.2420199942138931E-2</v>
      </c>
    </row>
    <row r="8" spans="1:5" ht="13" x14ac:dyDescent="0.3">
      <c r="B8" s="18" t="s">
        <v>56</v>
      </c>
      <c r="C8" s="67">
        <v>9.1874780161800909E-4</v>
      </c>
      <c r="D8" s="70">
        <v>9.1974783946963418E-3</v>
      </c>
      <c r="E8" s="69">
        <v>5.4145809894242825E-3</v>
      </c>
    </row>
    <row r="9" spans="1:5" ht="13" x14ac:dyDescent="0.3">
      <c r="B9" s="18" t="s">
        <v>57</v>
      </c>
      <c r="C9" s="67">
        <v>7.7312697854379174E-4</v>
      </c>
      <c r="D9" s="70">
        <v>2.4962945424411034E-3</v>
      </c>
      <c r="E9" s="69">
        <v>1.7089073901443313E-3</v>
      </c>
    </row>
    <row r="10" spans="1:5" ht="13" x14ac:dyDescent="0.3">
      <c r="B10" s="18" t="s">
        <v>5</v>
      </c>
      <c r="C10" s="67">
        <v>0.21524850349630673</v>
      </c>
      <c r="D10" s="70">
        <v>0.45327712797442882</v>
      </c>
      <c r="E10" s="69">
        <v>0.34451191864733677</v>
      </c>
    </row>
    <row r="11" spans="1:5" ht="13" x14ac:dyDescent="0.3">
      <c r="B11" s="18" t="s">
        <v>58</v>
      </c>
      <c r="C11" s="67">
        <v>6.4859096728807602E-4</v>
      </c>
      <c r="D11" s="70">
        <v>6.2992778501243041E-3</v>
      </c>
      <c r="E11" s="69">
        <v>3.7172432607926967E-3</v>
      </c>
    </row>
    <row r="12" spans="1:5" ht="13" x14ac:dyDescent="0.3">
      <c r="B12" s="18" t="s">
        <v>59</v>
      </c>
      <c r="C12" s="67">
        <v>0</v>
      </c>
      <c r="D12" s="70">
        <v>0</v>
      </c>
      <c r="E12" s="69">
        <v>0</v>
      </c>
    </row>
    <row r="13" spans="1:5" ht="13" x14ac:dyDescent="0.3">
      <c r="B13" s="23"/>
      <c r="C13" s="21">
        <f>SUM(C4:C12)</f>
        <v>1</v>
      </c>
      <c r="D13" s="21">
        <f t="shared" ref="D13:E13" si="0">SUM(D4:D12)</f>
        <v>1</v>
      </c>
      <c r="E13" s="21">
        <f t="shared" si="0"/>
        <v>0.99999999999999989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D17" sqref="D17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29 November 2024</v>
      </c>
    </row>
    <row r="2" spans="1:7" x14ac:dyDescent="0.35">
      <c r="B2" s="18" t="s">
        <v>40</v>
      </c>
      <c r="C2" s="18" t="s">
        <v>85</v>
      </c>
      <c r="D2" s="53" t="s">
        <v>86</v>
      </c>
      <c r="E2" s="53" t="s">
        <v>87</v>
      </c>
      <c r="F2" s="53" t="s">
        <v>88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f t="shared" ref="G3:G11" si="0">SUM(C3:F3)</f>
        <v>0</v>
      </c>
    </row>
    <row r="4" spans="1:7" x14ac:dyDescent="0.35">
      <c r="B4" s="18" t="s">
        <v>72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f t="shared" si="0"/>
        <v>15601785000</v>
      </c>
    </row>
    <row r="5" spans="1:7" x14ac:dyDescent="0.35">
      <c r="B5" s="18" t="s">
        <v>54</v>
      </c>
      <c r="C5" s="64">
        <v>28500000</v>
      </c>
      <c r="D5" s="64">
        <v>30495000</v>
      </c>
      <c r="E5" s="64">
        <v>30700000</v>
      </c>
      <c r="F5" s="64">
        <v>0</v>
      </c>
      <c r="G5" s="53">
        <f t="shared" si="0"/>
        <v>89695000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f t="shared" si="0"/>
        <v>0</v>
      </c>
    </row>
    <row r="7" spans="1:7" x14ac:dyDescent="0.35">
      <c r="B7" s="18" t="s">
        <v>56</v>
      </c>
      <c r="C7" s="64">
        <v>0</v>
      </c>
      <c r="D7" s="64">
        <v>8500000</v>
      </c>
      <c r="E7" s="64">
        <v>8500000</v>
      </c>
      <c r="F7" s="64">
        <v>0</v>
      </c>
      <c r="G7" s="53">
        <f t="shared" si="0"/>
        <v>17000000</v>
      </c>
    </row>
    <row r="8" spans="1:7" x14ac:dyDescent="0.35">
      <c r="B8" s="18" t="s">
        <v>57</v>
      </c>
      <c r="C8" s="64">
        <v>35000000</v>
      </c>
      <c r="D8" s="64">
        <v>40000000</v>
      </c>
      <c r="E8" s="64">
        <v>97000000</v>
      </c>
      <c r="F8" s="64">
        <v>138000000</v>
      </c>
      <c r="G8" s="53">
        <f t="shared" si="0"/>
        <v>310000000</v>
      </c>
    </row>
    <row r="9" spans="1:7" x14ac:dyDescent="0.35">
      <c r="B9" s="18" t="s">
        <v>5</v>
      </c>
      <c r="C9" s="64">
        <v>1562715000</v>
      </c>
      <c r="D9" s="64">
        <v>877964077</v>
      </c>
      <c r="E9" s="64">
        <v>1097710000</v>
      </c>
      <c r="F9" s="64">
        <v>783000000</v>
      </c>
      <c r="G9" s="53">
        <f t="shared" si="0"/>
        <v>4321389077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f t="shared" si="0"/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G15" sqref="G15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29 November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72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3.439544326641101E-3</v>
      </c>
      <c r="E5" s="67">
        <v>1.2384025816861637E-2</v>
      </c>
      <c r="F5" s="67">
        <v>0</v>
      </c>
      <c r="G5" s="69">
        <v>4.3998332188756994E-3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9.5871870065418452E-4</v>
      </c>
      <c r="E7" s="67">
        <v>3.4288019362646227E-3</v>
      </c>
      <c r="F7" s="67">
        <v>0</v>
      </c>
      <c r="G7" s="69">
        <v>8.339056215049544E-4</v>
      </c>
    </row>
    <row r="8" spans="1:7" x14ac:dyDescent="0.35">
      <c r="B8" s="18" t="s">
        <v>57</v>
      </c>
      <c r="C8" s="67">
        <v>4.6728971962616819E-3</v>
      </c>
      <c r="D8" s="67">
        <v>4.5116174148432213E-3</v>
      </c>
      <c r="E8" s="67">
        <v>3.9128680919725697E-2</v>
      </c>
      <c r="F8" s="67">
        <v>8.8974854932301742E-2</v>
      </c>
      <c r="G8" s="69">
        <v>1.5206514274502109E-2</v>
      </c>
    </row>
    <row r="9" spans="1:7" x14ac:dyDescent="0.35">
      <c r="B9" s="18" t="s">
        <v>5</v>
      </c>
      <c r="C9" s="67">
        <v>0.20864018691588784</v>
      </c>
      <c r="D9" s="67">
        <v>9.9025950484998876E-2</v>
      </c>
      <c r="E9" s="67">
        <v>0.4428035498184752</v>
      </c>
      <c r="F9" s="67">
        <v>0.50483558994197297</v>
      </c>
      <c r="G9" s="69">
        <v>0.21197827317767096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0.99999999999999989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2024-12-09T09:04:30Z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