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vestor.treasury.gov.za/Holdings of domestic bonds/Historical holdings data/2025/"/>
    </mc:Choice>
  </mc:AlternateContent>
  <xr:revisionPtr revIDLastSave="0" documentId="13_ncr:1_{632B9A12-E65B-4772-AFA1-A25ECC94CF0C}" xr6:coauthVersionLast="36" xr6:coauthVersionMax="36" xr10:uidLastSave="{00000000-0000-0000-0000-000000000000}"/>
  <bookViews>
    <workbookView xWindow="0" yWindow="0" windowWidth="19200" windowHeight="7380" firstSheet="3" activeTab="5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</workbook>
</file>

<file path=xl/calcChain.xml><?xml version="1.0" encoding="utf-8"?>
<calcChain xmlns="http://schemas.openxmlformats.org/spreadsheetml/2006/main">
  <c r="A1" i="4" l="1"/>
  <c r="A1" i="5"/>
  <c r="A1" i="6"/>
  <c r="A1" i="7"/>
  <c r="A1" i="8" s="1"/>
  <c r="A1" i="9" s="1"/>
  <c r="A1" i="3"/>
</calcChain>
</file>

<file path=xl/sharedStrings.xml><?xml version="1.0" encoding="utf-8"?>
<sst xmlns="http://schemas.openxmlformats.org/spreadsheetml/2006/main" count="350" uniqueCount="94">
  <si>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</si>
  <si>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</si>
  <si>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</si>
  <si>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</si>
  <si>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</si>
  <si>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</si>
  <si>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</si>
  <si>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</si>
  <si>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</si>
  <si>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</si>
  <si>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</si>
  <si>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</si>
  <si>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</si>
  <si>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</si>
  <si>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</si>
  <si>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</si>
  <si>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</si>
  <si>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</si>
  <si>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</si>
  <si>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</si>
  <si>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</si>
  <si>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</si>
  <si>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</si>
  <si>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</si>
  <si>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</si>
  <si>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</si>
  <si>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</si>
  <si>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</si>
  <si>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</si>
  <si>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</si>
  <si>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</si>
  <si>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</si>
  <si>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</si>
  <si>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</si>
  <si>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</si>
  <si>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</si>
  <si>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</si>
  <si>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</si>
  <si>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</si>
  <si>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</si>
  <si>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</si>
  <si>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</si>
  <si>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</si>
  <si>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</si>
  <si>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</si>
  <si>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</si>
  <si>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</si>
  <si>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</si>
  <si>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</si>
  <si>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</si>
  <si>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</si>
  <si>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</si>
  <si>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</si>
  <si>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</si>
  <si>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</si>
  <si>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</si>
  <si>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</si>
  <si>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</si>
  <si>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</si>
  <si>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</si>
  <si>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</si>
  <si>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</si>
  <si>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</si>
  <si>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</si>
  <si>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</si>
  <si>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</si>
  <si>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</si>
  <si>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</si>
  <si>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</si>
  <si>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</si>
  <si>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</si>
  <si>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</si>
  <si>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</si>
  <si>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</si>
  <si>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</si>
  <si>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</si>
  <si>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</si>
  <si>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</si>
  <si>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</si>
  <si>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</si>
  <si>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</si>
  <si>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</si>
  <si>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</si>
  <si>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</si>
  <si>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</si>
  <si>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</si>
  <si>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</si>
  <si>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</si>
  <si>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</si>
  <si>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</si>
  <si>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</si>
  <si>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2025</t>
  </si>
  <si>
    <t>RN2032 (2032)</t>
  </si>
  <si>
    <t>28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</si>
</sst>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workbookViewId="0">
      <pane ySplit="1" topLeftCell="A163" activePane="bottomLeft" state="frozen"/>
      <selection pane="bottomLeft" activeCell="A178" sqref="A178:XFD178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91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  <row r="175" spans="1:8" x14ac:dyDescent="0.35">
      <c r="B175" s="5" t="s">
        <v>26</v>
      </c>
      <c r="C175" s="6">
        <v>0.24815537147471178</v>
      </c>
      <c r="D175" s="6">
        <v>0.20809436744644191</v>
      </c>
      <c r="E175" s="6">
        <v>7.3592781641961022E-2</v>
      </c>
      <c r="F175" s="6">
        <v>0.22641543582422868</v>
      </c>
      <c r="G175" s="6">
        <v>0.23080133851982673</v>
      </c>
      <c r="H175" s="6">
        <v>1.2940705092829814E-2</v>
      </c>
    </row>
    <row r="176" spans="1:8" x14ac:dyDescent="0.35">
      <c r="B176" s="5" t="s">
        <v>15</v>
      </c>
      <c r="C176" s="6">
        <v>0.24476606255862204</v>
      </c>
      <c r="D176" s="6">
        <v>0.21511751584674363</v>
      </c>
      <c r="E176" s="6">
        <v>7.5198683052154061E-2</v>
      </c>
      <c r="F176" s="6">
        <v>0.22535460579310077</v>
      </c>
      <c r="G176" s="6">
        <v>0.22658465060602445</v>
      </c>
      <c r="H176" s="6">
        <v>1.297848214335507E-2</v>
      </c>
    </row>
    <row r="177" spans="2:8" x14ac:dyDescent="0.35">
      <c r="B177" s="5" t="s">
        <v>34</v>
      </c>
      <c r="C177" s="6">
        <v>0.25074492506486762</v>
      </c>
      <c r="D177" s="6">
        <v>0.2151969663295947</v>
      </c>
      <c r="E177" s="6">
        <v>7.508559814965024E-2</v>
      </c>
      <c r="F177" s="6">
        <v>0.22149054138815949</v>
      </c>
      <c r="G177" s="6">
        <v>0.22453714027405225</v>
      </c>
      <c r="H177" s="6">
        <v>1.2944828793675695E-2</v>
      </c>
    </row>
    <row r="178" spans="2:8" x14ac:dyDescent="0.35">
      <c r="B178" s="5" t="s">
        <v>27</v>
      </c>
      <c r="C178" s="6">
        <v>0.24659002107974323</v>
      </c>
      <c r="D178" s="6">
        <v>0.21572896009578812</v>
      </c>
      <c r="E178" s="6">
        <v>7.6010382002739421E-2</v>
      </c>
      <c r="F178" s="6">
        <v>0.22079269523242323</v>
      </c>
      <c r="G178" s="6">
        <v>0.22782584871456291</v>
      </c>
      <c r="H178" s="6">
        <v>1.3052092874743104E-2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59" workbookViewId="0">
      <selection activeCell="G37" sqref="G37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93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89</v>
      </c>
      <c r="H2" s="41" t="s">
        <v>45</v>
      </c>
      <c r="I2" s="41" t="s">
        <v>46</v>
      </c>
      <c r="J2" s="41" t="s">
        <v>47</v>
      </c>
      <c r="K2" s="41" t="s">
        <v>90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98603260701.949997</v>
      </c>
      <c r="D3" s="64">
        <v>89986920336.48999</v>
      </c>
      <c r="E3" s="64">
        <v>74418456763</v>
      </c>
      <c r="F3" s="64">
        <v>74234439125</v>
      </c>
      <c r="G3" s="64">
        <v>4841057679</v>
      </c>
      <c r="H3" s="64">
        <v>161591444087</v>
      </c>
      <c r="I3" s="64">
        <v>37904466398.32</v>
      </c>
      <c r="J3" s="64">
        <v>98303337119</v>
      </c>
      <c r="K3" s="64">
        <v>8982690671</v>
      </c>
      <c r="L3" s="64">
        <v>112398055502</v>
      </c>
      <c r="M3" s="64">
        <v>45951546449</v>
      </c>
      <c r="N3" s="64">
        <v>91811280948</v>
      </c>
      <c r="O3" s="64">
        <v>90229955710</v>
      </c>
      <c r="P3" s="64">
        <v>13222457112</v>
      </c>
      <c r="Q3" s="54">
        <v>1002479368601.76</v>
      </c>
      <c r="R3" s="51"/>
    </row>
    <row r="4" spans="1:18" x14ac:dyDescent="0.35">
      <c r="B4" s="18" t="s">
        <v>71</v>
      </c>
      <c r="C4" s="64">
        <v>104620330251.64999</v>
      </c>
      <c r="D4" s="64">
        <v>98986477672.529999</v>
      </c>
      <c r="E4" s="64">
        <v>53227232651</v>
      </c>
      <c r="F4" s="64">
        <v>88307632911.199997</v>
      </c>
      <c r="G4" s="64">
        <v>13119508841</v>
      </c>
      <c r="H4" s="64">
        <v>43069678184.800003</v>
      </c>
      <c r="I4" s="64">
        <v>15688718397</v>
      </c>
      <c r="J4" s="64">
        <v>52428557551.690002</v>
      </c>
      <c r="K4" s="64">
        <v>10262365183</v>
      </c>
      <c r="L4" s="64">
        <v>28181190604</v>
      </c>
      <c r="M4" s="64">
        <v>9053766968</v>
      </c>
      <c r="N4" s="64">
        <v>28815956033.099998</v>
      </c>
      <c r="O4" s="64">
        <v>155998885211.58002</v>
      </c>
      <c r="P4" s="64">
        <v>10094944639</v>
      </c>
      <c r="Q4" s="54">
        <v>711855245099.55005</v>
      </c>
    </row>
    <row r="5" spans="1:18" x14ac:dyDescent="0.35">
      <c r="B5" s="18" t="s">
        <v>54</v>
      </c>
      <c r="C5" s="64">
        <v>13913138418.9</v>
      </c>
      <c r="D5" s="64">
        <v>18167681057</v>
      </c>
      <c r="E5" s="64">
        <v>11645760812</v>
      </c>
      <c r="F5" s="64">
        <v>12724276194</v>
      </c>
      <c r="G5" s="64">
        <v>793940411</v>
      </c>
      <c r="H5" s="64">
        <v>13894880954</v>
      </c>
      <c r="I5" s="64">
        <v>8207964575</v>
      </c>
      <c r="J5" s="64">
        <v>23236048986.75</v>
      </c>
      <c r="K5" s="64">
        <v>3396008279</v>
      </c>
      <c r="L5" s="64">
        <v>25181003063</v>
      </c>
      <c r="M5" s="64">
        <v>9507651469</v>
      </c>
      <c r="N5" s="64">
        <v>31791518974</v>
      </c>
      <c r="O5" s="64">
        <v>31219268968</v>
      </c>
      <c r="P5" s="64">
        <v>22554378710</v>
      </c>
      <c r="Q5" s="54">
        <v>226233520871.64999</v>
      </c>
    </row>
    <row r="6" spans="1:18" x14ac:dyDescent="0.35">
      <c r="B6" s="18" t="s">
        <v>55</v>
      </c>
      <c r="C6" s="64">
        <v>2478954903</v>
      </c>
      <c r="D6" s="64">
        <v>3309496609</v>
      </c>
      <c r="E6" s="64">
        <v>2537965060</v>
      </c>
      <c r="F6" s="64">
        <v>3757442932</v>
      </c>
      <c r="G6" s="64">
        <v>782846683</v>
      </c>
      <c r="H6" s="64">
        <v>2954061265</v>
      </c>
      <c r="I6" s="64">
        <v>345011796</v>
      </c>
      <c r="J6" s="64">
        <v>3970498730</v>
      </c>
      <c r="K6" s="64">
        <v>575987310</v>
      </c>
      <c r="L6" s="64">
        <v>2935546261</v>
      </c>
      <c r="M6" s="64">
        <v>809340264</v>
      </c>
      <c r="N6" s="64">
        <v>2021714481</v>
      </c>
      <c r="O6" s="64">
        <v>3891791726</v>
      </c>
      <c r="P6" s="64">
        <v>282280377</v>
      </c>
      <c r="Q6" s="54">
        <v>30652938397</v>
      </c>
    </row>
    <row r="7" spans="1:18" x14ac:dyDescent="0.35">
      <c r="B7" s="18" t="s">
        <v>56</v>
      </c>
      <c r="C7" s="64">
        <v>3416584948.73</v>
      </c>
      <c r="D7" s="64">
        <v>6447500091</v>
      </c>
      <c r="E7" s="64">
        <v>4086318195</v>
      </c>
      <c r="F7" s="64">
        <v>10789514375</v>
      </c>
      <c r="G7" s="64">
        <v>524607072</v>
      </c>
      <c r="H7" s="64">
        <v>8570826803</v>
      </c>
      <c r="I7" s="64">
        <v>4250231043</v>
      </c>
      <c r="J7" s="64">
        <v>11004616380</v>
      </c>
      <c r="K7" s="64">
        <v>972895000</v>
      </c>
      <c r="L7" s="64">
        <v>10020308457</v>
      </c>
      <c r="M7" s="64">
        <v>2300962103</v>
      </c>
      <c r="N7" s="64">
        <v>7205839207</v>
      </c>
      <c r="O7" s="64">
        <v>12695502281</v>
      </c>
      <c r="P7" s="64">
        <v>1583677102</v>
      </c>
      <c r="Q7" s="54">
        <v>83869383057.729996</v>
      </c>
    </row>
    <row r="8" spans="1:18" x14ac:dyDescent="0.35">
      <c r="B8" s="18" t="s">
        <v>57</v>
      </c>
      <c r="C8" s="64">
        <v>4925778191.5100002</v>
      </c>
      <c r="D8" s="64">
        <v>53964291184</v>
      </c>
      <c r="E8" s="64">
        <v>21475568583</v>
      </c>
      <c r="F8" s="64">
        <v>51996007991</v>
      </c>
      <c r="G8" s="64">
        <v>2751845374</v>
      </c>
      <c r="H8" s="64">
        <v>50960677169</v>
      </c>
      <c r="I8" s="64">
        <v>16387071522</v>
      </c>
      <c r="J8" s="64">
        <v>59976202964</v>
      </c>
      <c r="K8" s="64">
        <v>1960076686</v>
      </c>
      <c r="L8" s="64">
        <v>43560508364</v>
      </c>
      <c r="M8" s="64">
        <v>8849630674</v>
      </c>
      <c r="N8" s="64">
        <v>53945820322</v>
      </c>
      <c r="O8" s="64">
        <v>71754730647</v>
      </c>
      <c r="P8" s="64">
        <v>7144127070</v>
      </c>
      <c r="Q8" s="54">
        <v>449652336741.51001</v>
      </c>
    </row>
    <row r="9" spans="1:18" x14ac:dyDescent="0.35">
      <c r="B9" s="18" t="s">
        <v>5</v>
      </c>
      <c r="C9" s="64">
        <v>77249888479.699997</v>
      </c>
      <c r="D9" s="64">
        <v>72212790944.979996</v>
      </c>
      <c r="E9" s="64">
        <v>49283497614</v>
      </c>
      <c r="F9" s="64">
        <v>101569024693</v>
      </c>
      <c r="G9" s="64">
        <v>10323116341</v>
      </c>
      <c r="H9" s="64">
        <v>78911436557.199997</v>
      </c>
      <c r="I9" s="64">
        <v>19094933877.68</v>
      </c>
      <c r="J9" s="64">
        <v>88550101248.25</v>
      </c>
      <c r="K9" s="64">
        <v>14495906389</v>
      </c>
      <c r="L9" s="64">
        <v>70517353032</v>
      </c>
      <c r="M9" s="64">
        <v>15929056164</v>
      </c>
      <c r="N9" s="64">
        <v>71917879106</v>
      </c>
      <c r="O9" s="64">
        <v>70861562983.419998</v>
      </c>
      <c r="P9" s="64">
        <v>32780442662</v>
      </c>
      <c r="Q9" s="54">
        <v>773696990092.2301</v>
      </c>
    </row>
    <row r="10" spans="1:18" x14ac:dyDescent="0.35">
      <c r="B10" s="18" t="s">
        <v>58</v>
      </c>
      <c r="C10" s="64">
        <v>2709660478.4499998</v>
      </c>
      <c r="D10" s="64">
        <v>3872990580</v>
      </c>
      <c r="E10" s="64">
        <v>1502061826</v>
      </c>
      <c r="F10" s="64">
        <v>5201925401.8000002</v>
      </c>
      <c r="G10" s="64">
        <v>47705016</v>
      </c>
      <c r="H10" s="64">
        <v>6009747329</v>
      </c>
      <c r="I10" s="64">
        <v>2380154536</v>
      </c>
      <c r="J10" s="64">
        <v>4772830076.3099995</v>
      </c>
      <c r="K10" s="64">
        <v>100954242</v>
      </c>
      <c r="L10" s="64">
        <v>7709103693</v>
      </c>
      <c r="M10" s="64">
        <v>979902405</v>
      </c>
      <c r="N10" s="64">
        <v>2344008849.9000001</v>
      </c>
      <c r="O10" s="64">
        <v>2839228049</v>
      </c>
      <c r="P10" s="64">
        <v>917201519</v>
      </c>
      <c r="Q10" s="54">
        <v>41387474001.459999</v>
      </c>
    </row>
    <row r="11" spans="1:18" x14ac:dyDescent="0.35">
      <c r="A11" s="17"/>
      <c r="B11" s="19" t="s">
        <v>59</v>
      </c>
      <c r="C11" s="65">
        <v>757159865</v>
      </c>
      <c r="D11" s="65">
        <v>150511556</v>
      </c>
      <c r="E11" s="65">
        <v>299740</v>
      </c>
      <c r="F11" s="65">
        <v>35227328.000061035</v>
      </c>
      <c r="G11" s="65">
        <v>0</v>
      </c>
      <c r="H11" s="65">
        <v>410993541</v>
      </c>
      <c r="I11" s="65">
        <v>4000000</v>
      </c>
      <c r="J11" s="65">
        <v>2213683</v>
      </c>
      <c r="K11" s="65">
        <v>0</v>
      </c>
      <c r="L11" s="65">
        <v>35741732</v>
      </c>
      <c r="M11" s="65">
        <v>0</v>
      </c>
      <c r="N11" s="65">
        <v>7005000</v>
      </c>
      <c r="O11" s="65">
        <v>0</v>
      </c>
      <c r="P11" s="65">
        <v>0</v>
      </c>
      <c r="Q11" s="54">
        <v>1403152445.000061</v>
      </c>
    </row>
    <row r="12" spans="1:18" x14ac:dyDescent="0.35">
      <c r="B12" s="19"/>
      <c r="C12" s="20">
        <v>308674756238.89001</v>
      </c>
      <c r="D12" s="20">
        <v>347098660031</v>
      </c>
      <c r="E12" s="20">
        <v>218177161244</v>
      </c>
      <c r="F12" s="20">
        <v>348615490951.00006</v>
      </c>
      <c r="G12" s="20">
        <v>33184627417</v>
      </c>
      <c r="H12" s="20">
        <v>366373745890</v>
      </c>
      <c r="I12" s="20">
        <v>104262552145</v>
      </c>
      <c r="J12" s="20">
        <v>342244406739</v>
      </c>
      <c r="K12" s="20">
        <v>40746883760</v>
      </c>
      <c r="L12" s="20">
        <v>300538810708</v>
      </c>
      <c r="M12" s="20">
        <v>93381856496</v>
      </c>
      <c r="N12" s="20">
        <v>289861022921</v>
      </c>
      <c r="O12" s="20">
        <v>439490925576</v>
      </c>
      <c r="P12" s="20">
        <v>88579509191</v>
      </c>
      <c r="Q12" s="20">
        <v>3321230409307.8901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B1" zoomScale="74" workbookViewId="0">
      <selection activeCell="G21" sqref="G21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28 July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89</v>
      </c>
      <c r="H2" s="45" t="s">
        <v>45</v>
      </c>
      <c r="I2" s="45" t="s">
        <v>46</v>
      </c>
      <c r="J2" s="45" t="s">
        <v>47</v>
      </c>
      <c r="K2" s="45" t="s">
        <v>90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0.31944063681592033</v>
      </c>
      <c r="D3" s="67">
        <v>0.25925458867646767</v>
      </c>
      <c r="E3" s="67">
        <v>0.34109187386379813</v>
      </c>
      <c r="F3" s="67">
        <v>0.21294073571571173</v>
      </c>
      <c r="G3" s="67">
        <v>0.14588253826589587</v>
      </c>
      <c r="H3" s="67">
        <v>0.44105628719235845</v>
      </c>
      <c r="I3" s="67">
        <v>0.36354823106195894</v>
      </c>
      <c r="J3" s="67">
        <v>0.28723139131961739</v>
      </c>
      <c r="K3" s="67">
        <v>0.22045098525590906</v>
      </c>
      <c r="L3" s="67">
        <v>0.3739884883327253</v>
      </c>
      <c r="M3" s="67">
        <v>0.49208216856310122</v>
      </c>
      <c r="N3" s="67">
        <v>0.31674241684099297</v>
      </c>
      <c r="O3" s="67">
        <v>0.20530561715635873</v>
      </c>
      <c r="P3" s="67">
        <v>0.1492721875833497</v>
      </c>
      <c r="Q3" s="67">
        <v>0.30183975366245858</v>
      </c>
    </row>
    <row r="4" spans="1:17" x14ac:dyDescent="0.35">
      <c r="B4" s="47" t="s">
        <v>71</v>
      </c>
      <c r="C4" s="67">
        <v>0.33893387177629153</v>
      </c>
      <c r="D4" s="67">
        <v>0.28518254050214237</v>
      </c>
      <c r="E4" s="67">
        <v>0.24396335687708826</v>
      </c>
      <c r="F4" s="67">
        <v>0.25330954935566002</v>
      </c>
      <c r="G4" s="67">
        <v>0.39534898723253609</v>
      </c>
      <c r="H4" s="67">
        <v>0.11755667175379765</v>
      </c>
      <c r="I4" s="67">
        <v>0.15047318595444881</v>
      </c>
      <c r="J4" s="67">
        <v>0.15319039995786607</v>
      </c>
      <c r="K4" s="67">
        <v>0.25185644240785493</v>
      </c>
      <c r="L4" s="67">
        <v>9.3768889740435277E-2</v>
      </c>
      <c r="M4" s="67">
        <v>9.6954240445924489E-2</v>
      </c>
      <c r="N4" s="67">
        <v>9.9413007456865377E-2</v>
      </c>
      <c r="O4" s="67">
        <v>0.35495359774977547</v>
      </c>
      <c r="P4" s="67">
        <v>0.11396478408152755</v>
      </c>
      <c r="Q4" s="66">
        <v>0.20413961563726857</v>
      </c>
    </row>
    <row r="5" spans="1:17" x14ac:dyDescent="0.35">
      <c r="B5" s="47" t="s">
        <v>54</v>
      </c>
      <c r="C5" s="67">
        <v>4.5073781181290781E-2</v>
      </c>
      <c r="D5" s="67">
        <v>5.2341547660764265E-2</v>
      </c>
      <c r="E5" s="67">
        <v>5.3377543027869352E-2</v>
      </c>
      <c r="F5" s="67">
        <v>3.6499457207965755E-2</v>
      </c>
      <c r="G5" s="67">
        <v>2.3924945759471627E-2</v>
      </c>
      <c r="H5" s="67">
        <v>3.7925427544613956E-2</v>
      </c>
      <c r="I5" s="67">
        <v>7.8723994436516578E-2</v>
      </c>
      <c r="J5" s="67">
        <v>6.7893144575099248E-2</v>
      </c>
      <c r="K5" s="67">
        <v>8.3343999973165064E-2</v>
      </c>
      <c r="L5" s="67">
        <v>8.3786193881846327E-2</v>
      </c>
      <c r="M5" s="67">
        <v>0.10181476172951498</v>
      </c>
      <c r="N5" s="67">
        <v>0.10967848886210756</v>
      </c>
      <c r="O5" s="67">
        <v>7.1035070694767583E-2</v>
      </c>
      <c r="P5" s="67">
        <v>0.25462298127399885</v>
      </c>
      <c r="Q5" s="66">
        <v>6.7218271418500272E-2</v>
      </c>
    </row>
    <row r="6" spans="1:17" x14ac:dyDescent="0.35">
      <c r="B6" s="47" t="s">
        <v>55</v>
      </c>
      <c r="C6" s="67">
        <v>8.0309609156424943E-3</v>
      </c>
      <c r="D6" s="67">
        <v>9.5347432591771537E-3</v>
      </c>
      <c r="E6" s="67">
        <v>1.1632588147765148E-2</v>
      </c>
      <c r="F6" s="67">
        <v>1.0778186941004669E-2</v>
      </c>
      <c r="G6" s="67">
        <v>2.3590642533444842E-2</v>
      </c>
      <c r="H6" s="67">
        <v>8.0629720282602534E-3</v>
      </c>
      <c r="I6" s="67">
        <v>3.3090672432436264E-3</v>
      </c>
      <c r="J6" s="67">
        <v>1.1601354622072622E-2</v>
      </c>
      <c r="K6" s="67">
        <v>1.4135738904417263E-2</v>
      </c>
      <c r="L6" s="67">
        <v>9.7676112249347469E-3</v>
      </c>
      <c r="M6" s="67">
        <v>8.6669969346204641E-3</v>
      </c>
      <c r="N6" s="67">
        <v>6.9747717738200595E-3</v>
      </c>
      <c r="O6" s="67">
        <v>8.8552265803881827E-3</v>
      </c>
      <c r="P6" s="67">
        <v>3.1867457787707037E-3</v>
      </c>
      <c r="Q6" s="66">
        <v>9.3615198025416065E-3</v>
      </c>
    </row>
    <row r="7" spans="1:17" x14ac:dyDescent="0.35">
      <c r="B7" s="47" t="s">
        <v>56</v>
      </c>
      <c r="C7" s="67">
        <v>1.1068559639797144E-2</v>
      </c>
      <c r="D7" s="67">
        <v>1.8575410491138637E-2</v>
      </c>
      <c r="E7" s="67">
        <v>1.8729358158758133E-2</v>
      </c>
      <c r="F7" s="67">
        <v>3.0949612553265823E-2</v>
      </c>
      <c r="G7" s="67">
        <v>1.5808737744973187E-2</v>
      </c>
      <c r="H7" s="67">
        <v>2.3393670805149078E-2</v>
      </c>
      <c r="I7" s="67">
        <v>4.0764694087759519E-2</v>
      </c>
      <c r="J7" s="67">
        <v>3.215426216853344E-2</v>
      </c>
      <c r="K7" s="67">
        <v>2.3876549817413571E-2</v>
      </c>
      <c r="L7" s="67">
        <v>3.3341146301186418E-2</v>
      </c>
      <c r="M7" s="67">
        <v>2.4640355089733747E-2</v>
      </c>
      <c r="N7" s="67">
        <v>2.4859634918779374E-2</v>
      </c>
      <c r="O7" s="67">
        <v>2.8886835978151726E-2</v>
      </c>
      <c r="P7" s="67">
        <v>1.7878594230920704E-2</v>
      </c>
      <c r="Q7" s="66">
        <v>2.453949994057688E-2</v>
      </c>
    </row>
    <row r="8" spans="1:17" x14ac:dyDescent="0.35">
      <c r="B8" s="47" t="s">
        <v>57</v>
      </c>
      <c r="C8" s="67">
        <v>1.5957826456329441E-2</v>
      </c>
      <c r="D8" s="67">
        <v>0.15547248491014154</v>
      </c>
      <c r="E8" s="67">
        <v>9.8431790296247573E-2</v>
      </c>
      <c r="F8" s="67">
        <v>0.14915002155858972</v>
      </c>
      <c r="G8" s="67">
        <v>8.2925305727261825E-2</v>
      </c>
      <c r="H8" s="67">
        <v>0.13909478433069936</v>
      </c>
      <c r="I8" s="67">
        <v>0.15717121041896398</v>
      </c>
      <c r="J8" s="67">
        <v>0.17524377837309296</v>
      </c>
      <c r="K8" s="67">
        <v>4.8103719968989357E-2</v>
      </c>
      <c r="L8" s="67">
        <v>0.14494137466432874</v>
      </c>
      <c r="M8" s="67">
        <v>9.4768202368937404E-2</v>
      </c>
      <c r="N8" s="67">
        <v>0.18610925945949838</v>
      </c>
      <c r="O8" s="67">
        <v>0.16326783210132889</v>
      </c>
      <c r="P8" s="67">
        <v>8.065214105663468E-2</v>
      </c>
      <c r="Q8" s="66">
        <v>0.14006002305373402</v>
      </c>
    </row>
    <row r="9" spans="1:17" x14ac:dyDescent="0.35">
      <c r="B9" s="47" t="s">
        <v>5</v>
      </c>
      <c r="C9" s="67">
        <v>0.25026305818126138</v>
      </c>
      <c r="D9" s="67">
        <v>0.20804687329686189</v>
      </c>
      <c r="E9" s="67">
        <v>0.22588751880809121</v>
      </c>
      <c r="F9" s="67">
        <v>0.29134971717959635</v>
      </c>
      <c r="G9" s="67">
        <v>0.31108127902956711</v>
      </c>
      <c r="H9" s="67">
        <v>0.21538507451047639</v>
      </c>
      <c r="I9" s="67">
        <v>0.18314278218630498</v>
      </c>
      <c r="J9" s="67">
        <v>0.25873352348393364</v>
      </c>
      <c r="K9" s="67">
        <v>0.35575496949364749</v>
      </c>
      <c r="L9" s="67">
        <v>0.23463642804028342</v>
      </c>
      <c r="M9" s="67">
        <v>0.17057977600479937</v>
      </c>
      <c r="N9" s="67">
        <v>0.24811158941366468</v>
      </c>
      <c r="O9" s="67">
        <v>0.16123555427350023</v>
      </c>
      <c r="P9" s="67">
        <v>0.37006800964901498</v>
      </c>
      <c r="Q9" s="66">
        <v>0.24287543269786241</v>
      </c>
    </row>
    <row r="10" spans="1:17" x14ac:dyDescent="0.35">
      <c r="B10" s="47" t="s">
        <v>58</v>
      </c>
      <c r="C10" s="67">
        <v>8.7783675978768266E-3</v>
      </c>
      <c r="D10" s="67">
        <v>1.1158183611697309E-2</v>
      </c>
      <c r="E10" s="67">
        <v>6.8845969827252378E-3</v>
      </c>
      <c r="F10" s="67">
        <v>1.4921670255126905E-2</v>
      </c>
      <c r="G10" s="67">
        <v>1.4375637068494377E-3</v>
      </c>
      <c r="H10" s="67">
        <v>1.6403324191260053E-2</v>
      </c>
      <c r="I10" s="67">
        <v>2.2828469925519106E-2</v>
      </c>
      <c r="J10" s="67">
        <v>1.3945677364859965E-2</v>
      </c>
      <c r="K10" s="67">
        <v>2.4775941786032672E-3</v>
      </c>
      <c r="L10" s="67">
        <v>2.5650942302057871E-2</v>
      </c>
      <c r="M10" s="67">
        <v>1.0493498863368325E-2</v>
      </c>
      <c r="N10" s="67">
        <v>8.0866645203927483E-3</v>
      </c>
      <c r="O10" s="67">
        <v>6.4602654657292119E-3</v>
      </c>
      <c r="P10" s="67">
        <v>1.0354556345782858E-2</v>
      </c>
      <c r="Q10" s="66">
        <v>1.1963268683713991E-2</v>
      </c>
    </row>
    <row r="11" spans="1:17" x14ac:dyDescent="0.35">
      <c r="B11" s="47" t="s">
        <v>59</v>
      </c>
      <c r="C11" s="67">
        <v>2.4529374355900285E-3</v>
      </c>
      <c r="D11" s="67">
        <v>4.3362759160913366E-4</v>
      </c>
      <c r="E11" s="67">
        <v>1.3738376569341445E-6</v>
      </c>
      <c r="F11" s="67">
        <v>1.0104923307900979E-4</v>
      </c>
      <c r="G11" s="67">
        <v>0</v>
      </c>
      <c r="H11" s="67">
        <v>1.1217876433847872E-3</v>
      </c>
      <c r="I11" s="67">
        <v>3.8364685284483741E-5</v>
      </c>
      <c r="J11" s="67">
        <v>6.4681349246656442E-6</v>
      </c>
      <c r="K11" s="67">
        <v>0</v>
      </c>
      <c r="L11" s="67">
        <v>1.189255122019041E-4</v>
      </c>
      <c r="M11" s="67">
        <v>0</v>
      </c>
      <c r="N11" s="67">
        <v>2.4166753878837905E-5</v>
      </c>
      <c r="O11" s="67">
        <v>0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v>1</v>
      </c>
      <c r="D12" s="49">
        <v>1</v>
      </c>
      <c r="E12" s="49">
        <v>1</v>
      </c>
      <c r="F12" s="49">
        <v>0.99999999999999989</v>
      </c>
      <c r="G12" s="49">
        <v>1</v>
      </c>
      <c r="H12" s="49">
        <v>0.99999999999999989</v>
      </c>
      <c r="I12" s="49">
        <v>1</v>
      </c>
      <c r="J12" s="49">
        <v>1</v>
      </c>
      <c r="K12" s="49">
        <v>1</v>
      </c>
      <c r="L12" s="49">
        <v>1</v>
      </c>
      <c r="M12" s="49">
        <v>0.99999999999999989</v>
      </c>
      <c r="N12" s="49">
        <v>1</v>
      </c>
      <c r="O12" s="49">
        <v>1</v>
      </c>
      <c r="P12" s="49">
        <v>1</v>
      </c>
      <c r="Q12" s="49">
        <v>1.0025215221223747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E22" sqref="E22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28 July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183622432</v>
      </c>
      <c r="D3" s="64">
        <v>767569547</v>
      </c>
      <c r="E3" s="64">
        <v>87600000</v>
      </c>
      <c r="F3" s="64">
        <v>10290246658</v>
      </c>
      <c r="G3" s="64">
        <v>277507777</v>
      </c>
      <c r="H3" s="64">
        <v>3629657180</v>
      </c>
      <c r="I3" s="64">
        <v>35400000</v>
      </c>
      <c r="J3" s="64">
        <v>7709536529</v>
      </c>
      <c r="K3" s="64">
        <v>4474275027</v>
      </c>
      <c r="L3" s="64">
        <v>60770000</v>
      </c>
      <c r="M3" s="20">
        <v>27516185150</v>
      </c>
    </row>
    <row r="4" spans="1:13" x14ac:dyDescent="0.35">
      <c r="B4" s="18" t="s">
        <v>71</v>
      </c>
      <c r="C4" s="64">
        <v>2092033758</v>
      </c>
      <c r="D4" s="64">
        <v>5045578148</v>
      </c>
      <c r="E4" s="64">
        <v>297769783</v>
      </c>
      <c r="F4" s="64">
        <v>3836987468</v>
      </c>
      <c r="G4" s="64">
        <v>4484867748.9700003</v>
      </c>
      <c r="H4" s="64">
        <v>5826260910.8899994</v>
      </c>
      <c r="I4" s="64">
        <v>130826543</v>
      </c>
      <c r="J4" s="64">
        <v>12948986256.99</v>
      </c>
      <c r="K4" s="64">
        <v>12418525966.41</v>
      </c>
      <c r="L4" s="64">
        <v>64477094</v>
      </c>
      <c r="M4" s="20">
        <v>47146313677.259995</v>
      </c>
    </row>
    <row r="5" spans="1:13" x14ac:dyDescent="0.35">
      <c r="B5" s="18" t="s">
        <v>54</v>
      </c>
      <c r="C5" s="64">
        <v>1743735162</v>
      </c>
      <c r="D5" s="64">
        <v>7138301616</v>
      </c>
      <c r="E5" s="64">
        <v>1479535483</v>
      </c>
      <c r="F5" s="64">
        <v>3080408010</v>
      </c>
      <c r="G5" s="64">
        <v>1432028322.8499999</v>
      </c>
      <c r="H5" s="64">
        <v>5287337186</v>
      </c>
      <c r="I5" s="64">
        <v>1106377141</v>
      </c>
      <c r="J5" s="64">
        <v>6585506173</v>
      </c>
      <c r="K5" s="64">
        <v>6366744467</v>
      </c>
      <c r="L5" s="64">
        <v>414283908</v>
      </c>
      <c r="M5" s="20">
        <v>34634257468.849998</v>
      </c>
    </row>
    <row r="6" spans="1:13" x14ac:dyDescent="0.35">
      <c r="B6" s="18" t="s">
        <v>55</v>
      </c>
      <c r="C6" s="64">
        <v>180735876</v>
      </c>
      <c r="D6" s="64">
        <v>2566707114</v>
      </c>
      <c r="E6" s="64">
        <v>443415711</v>
      </c>
      <c r="F6" s="64">
        <v>2036902190</v>
      </c>
      <c r="G6" s="64">
        <v>474540465</v>
      </c>
      <c r="H6" s="64">
        <v>1566898496.29</v>
      </c>
      <c r="I6" s="64">
        <v>442578699</v>
      </c>
      <c r="J6" s="64">
        <v>1510539674</v>
      </c>
      <c r="K6" s="64">
        <v>2802229593.8099999</v>
      </c>
      <c r="L6" s="64">
        <v>668769638</v>
      </c>
      <c r="M6" s="20">
        <v>12693317457.1</v>
      </c>
    </row>
    <row r="7" spans="1:13" x14ac:dyDescent="0.35">
      <c r="B7" s="18" t="s">
        <v>56</v>
      </c>
      <c r="C7" s="64">
        <v>2569399437.75</v>
      </c>
      <c r="D7" s="64">
        <v>6168030301</v>
      </c>
      <c r="E7" s="64">
        <v>775762238</v>
      </c>
      <c r="F7" s="64">
        <v>8307978402</v>
      </c>
      <c r="G7" s="64">
        <v>2934853561.9300003</v>
      </c>
      <c r="H7" s="64">
        <v>12162854998</v>
      </c>
      <c r="I7" s="64">
        <v>1319329302</v>
      </c>
      <c r="J7" s="64">
        <v>15469717721</v>
      </c>
      <c r="K7" s="64">
        <v>20948424929.200001</v>
      </c>
      <c r="L7" s="64">
        <v>1992434650</v>
      </c>
      <c r="M7" s="20">
        <v>72648785540.880005</v>
      </c>
    </row>
    <row r="8" spans="1:13" x14ac:dyDescent="0.35">
      <c r="B8" s="18" t="s">
        <v>57</v>
      </c>
      <c r="C8" s="64">
        <v>19045689590</v>
      </c>
      <c r="D8" s="64">
        <v>34413479403</v>
      </c>
      <c r="E8" s="64">
        <v>1544027967</v>
      </c>
      <c r="F8" s="64">
        <v>45473525765</v>
      </c>
      <c r="G8" s="64">
        <v>23648336176</v>
      </c>
      <c r="H8" s="64">
        <v>60046396704</v>
      </c>
      <c r="I8" s="64">
        <v>7820618901</v>
      </c>
      <c r="J8" s="64">
        <v>55045276695</v>
      </c>
      <c r="K8" s="64">
        <v>63259412829</v>
      </c>
      <c r="L8" s="64">
        <v>4723609229</v>
      </c>
      <c r="M8" s="20">
        <v>315020373259</v>
      </c>
    </row>
    <row r="9" spans="1:13" x14ac:dyDescent="0.35">
      <c r="B9" s="18" t="s">
        <v>5</v>
      </c>
      <c r="C9" s="64">
        <v>5613346269.0200005</v>
      </c>
      <c r="D9" s="64">
        <v>23571583716</v>
      </c>
      <c r="E9" s="64">
        <v>5626018181</v>
      </c>
      <c r="F9" s="64">
        <v>18653220737</v>
      </c>
      <c r="G9" s="64">
        <v>4246281775.25</v>
      </c>
      <c r="H9" s="64">
        <v>8227408478.8199997</v>
      </c>
      <c r="I9" s="64">
        <v>1971079309</v>
      </c>
      <c r="J9" s="64">
        <v>9207019043.0100002</v>
      </c>
      <c r="K9" s="64">
        <v>7814321739.5799999</v>
      </c>
      <c r="L9" s="64">
        <v>1109159312</v>
      </c>
      <c r="M9" s="20">
        <v>86039438560.680008</v>
      </c>
    </row>
    <row r="10" spans="1:13" x14ac:dyDescent="0.35">
      <c r="B10" s="18" t="s">
        <v>58</v>
      </c>
      <c r="C10" s="64">
        <v>478955037.23000002</v>
      </c>
      <c r="D10" s="64">
        <v>1175023686</v>
      </c>
      <c r="E10" s="64">
        <v>138870637</v>
      </c>
      <c r="F10" s="64">
        <v>602073842</v>
      </c>
      <c r="G10" s="64">
        <v>442769172</v>
      </c>
      <c r="H10" s="64">
        <v>1094939883</v>
      </c>
      <c r="I10" s="64">
        <v>56737521</v>
      </c>
      <c r="J10" s="64">
        <v>3224131122</v>
      </c>
      <c r="K10" s="64">
        <v>3275391351</v>
      </c>
      <c r="L10" s="64">
        <v>123423000</v>
      </c>
      <c r="M10" s="20">
        <v>10612315251.23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v>300000</v>
      </c>
    </row>
    <row r="12" spans="1:13" x14ac:dyDescent="0.35">
      <c r="A12" s="17"/>
      <c r="B12" s="18"/>
      <c r="C12" s="33">
        <v>31907817562</v>
      </c>
      <c r="D12" s="33">
        <v>80846273531</v>
      </c>
      <c r="E12" s="33">
        <v>10393000000</v>
      </c>
      <c r="F12" s="33">
        <v>92281343072</v>
      </c>
      <c r="G12" s="33">
        <v>37941184999</v>
      </c>
      <c r="H12" s="33">
        <v>97841753837</v>
      </c>
      <c r="I12" s="33">
        <v>12882947416</v>
      </c>
      <c r="J12" s="33">
        <v>111700713213.99998</v>
      </c>
      <c r="K12" s="33">
        <v>121359325903</v>
      </c>
      <c r="L12" s="33">
        <v>9156926831</v>
      </c>
      <c r="M12" s="33">
        <v>606311286365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 t="s">
        <v>88</v>
      </c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C3" sqref="C3:M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28 July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5.7547787981175368E-3</v>
      </c>
      <c r="D3" s="68">
        <v>9.4941858601025105E-3</v>
      </c>
      <c r="E3" s="68">
        <v>8.4287501202732606E-3</v>
      </c>
      <c r="F3" s="68">
        <v>0.11150950252177534</v>
      </c>
      <c r="G3" s="68">
        <v>7.3141568194908559E-3</v>
      </c>
      <c r="H3" s="68">
        <v>3.7097221152094711E-2</v>
      </c>
      <c r="I3" s="68">
        <v>2.7478184034217903E-3</v>
      </c>
      <c r="J3" s="68">
        <v>6.901958194510191E-2</v>
      </c>
      <c r="K3" s="68">
        <v>3.6867995052775715E-2</v>
      </c>
      <c r="L3" s="68">
        <v>6.6365060157812239E-3</v>
      </c>
      <c r="M3" s="68">
        <v>4.5382934094740285E-2</v>
      </c>
    </row>
    <row r="4" spans="1:13" x14ac:dyDescent="0.35">
      <c r="B4" s="18" t="s">
        <v>71</v>
      </c>
      <c r="C4" s="68">
        <v>6.5564927903169007E-2</v>
      </c>
      <c r="D4" s="68">
        <v>6.2409532655395727E-2</v>
      </c>
      <c r="E4" s="68">
        <v>2.865099422688348E-2</v>
      </c>
      <c r="F4" s="68">
        <v>4.1579233030952914E-2</v>
      </c>
      <c r="G4" s="68">
        <v>0.11820579006924022</v>
      </c>
      <c r="H4" s="68">
        <v>5.9547797156174143E-2</v>
      </c>
      <c r="I4" s="68">
        <v>1.0155016455125768E-2</v>
      </c>
      <c r="J4" s="68">
        <v>0.11592572584726381</v>
      </c>
      <c r="K4" s="68">
        <v>0.10232856745048066</v>
      </c>
      <c r="L4" s="68">
        <v>7.0413464244049933E-3</v>
      </c>
      <c r="M4" s="68">
        <v>7.7759254590022364E-2</v>
      </c>
    </row>
    <row r="5" spans="1:13" x14ac:dyDescent="0.35">
      <c r="B5" s="18" t="s">
        <v>54</v>
      </c>
      <c r="C5" s="68">
        <v>5.4649151688665409E-2</v>
      </c>
      <c r="D5" s="68">
        <v>8.8294751312970071E-2</v>
      </c>
      <c r="E5" s="68">
        <v>0.14235884566535167</v>
      </c>
      <c r="F5" s="68">
        <v>3.3380615273410096E-2</v>
      </c>
      <c r="G5" s="68">
        <v>3.7743373668685971E-2</v>
      </c>
      <c r="H5" s="68">
        <v>5.4039681206128704E-2</v>
      </c>
      <c r="I5" s="68">
        <v>8.5879194044208615E-2</v>
      </c>
      <c r="J5" s="68">
        <v>5.895670657342416E-2</v>
      </c>
      <c r="K5" s="68">
        <v>5.2461930054628084E-2</v>
      </c>
      <c r="L5" s="68">
        <v>4.5242679738083845E-2</v>
      </c>
      <c r="M5" s="68">
        <v>5.7122897507799551E-2</v>
      </c>
    </row>
    <row r="6" spans="1:13" x14ac:dyDescent="0.35">
      <c r="B6" s="18" t="s">
        <v>55</v>
      </c>
      <c r="C6" s="68">
        <v>5.6643133191047173E-3</v>
      </c>
      <c r="D6" s="68">
        <v>3.174799532369061E-2</v>
      </c>
      <c r="E6" s="68">
        <v>4.266484277879342E-2</v>
      </c>
      <c r="F6" s="68">
        <v>2.2072741056778537E-2</v>
      </c>
      <c r="G6" s="68">
        <v>1.2507265258386297E-2</v>
      </c>
      <c r="H6" s="68">
        <v>1.6014619882022792E-2</v>
      </c>
      <c r="I6" s="68">
        <v>3.4353838815668732E-2</v>
      </c>
      <c r="J6" s="68">
        <v>1.3523097843664232E-2</v>
      </c>
      <c r="K6" s="68">
        <v>2.3090352331470301E-2</v>
      </c>
      <c r="L6" s="68">
        <v>7.3034288724022234E-2</v>
      </c>
      <c r="M6" s="68">
        <v>2.0935314487051476E-2</v>
      </c>
    </row>
    <row r="7" spans="1:13" x14ac:dyDescent="0.35">
      <c r="B7" s="18" t="s">
        <v>56</v>
      </c>
      <c r="C7" s="68">
        <v>8.0525702917706804E-2</v>
      </c>
      <c r="D7" s="68">
        <v>7.629331608753627E-2</v>
      </c>
      <c r="E7" s="68">
        <v>7.4642763206004048E-2</v>
      </c>
      <c r="F7" s="68">
        <v>9.0028798080213537E-2</v>
      </c>
      <c r="G7" s="68">
        <v>7.7352712151909669E-2</v>
      </c>
      <c r="H7" s="68">
        <v>0.12431149811830616</v>
      </c>
      <c r="I7" s="68">
        <v>0.10240896429969562</v>
      </c>
      <c r="J7" s="68">
        <v>0.13849255994778292</v>
      </c>
      <c r="K7" s="68">
        <v>0.17261487548096341</v>
      </c>
      <c r="L7" s="68">
        <v>0.21758770019377913</v>
      </c>
      <c r="M7" s="68">
        <v>0.11982093550728555</v>
      </c>
    </row>
    <row r="8" spans="1:13" x14ac:dyDescent="0.35">
      <c r="B8" s="18" t="s">
        <v>57</v>
      </c>
      <c r="C8" s="68">
        <v>0.59689728239771866</v>
      </c>
      <c r="D8" s="68">
        <v>0.42566562316325396</v>
      </c>
      <c r="E8" s="68">
        <v>0.14856422274607908</v>
      </c>
      <c r="F8" s="68">
        <v>0.49277052382647402</v>
      </c>
      <c r="G8" s="68">
        <v>0.62328934050487061</v>
      </c>
      <c r="H8" s="68">
        <v>0.61370932499875896</v>
      </c>
      <c r="I8" s="68">
        <v>0.60705199272079369</v>
      </c>
      <c r="J8" s="68">
        <v>0.49279252666491402</v>
      </c>
      <c r="K8" s="68">
        <v>0.52125712101896426</v>
      </c>
      <c r="L8" s="68">
        <v>0.51585093079575794</v>
      </c>
      <c r="M8" s="68">
        <v>0.51956871056719434</v>
      </c>
    </row>
    <row r="9" spans="1:13" x14ac:dyDescent="0.35">
      <c r="B9" s="18" t="s">
        <v>5</v>
      </c>
      <c r="C9" s="68">
        <v>0.17592385496478163</v>
      </c>
      <c r="D9" s="68">
        <v>0.29156054678217941</v>
      </c>
      <c r="E9" s="68">
        <v>0.54132764177811987</v>
      </c>
      <c r="F9" s="68">
        <v>0.20213425721867023</v>
      </c>
      <c r="G9" s="68">
        <v>0.11191747899708239</v>
      </c>
      <c r="H9" s="68">
        <v>8.4088930913140569E-2</v>
      </c>
      <c r="I9" s="68">
        <v>0.15299909604164141</v>
      </c>
      <c r="J9" s="68">
        <v>8.2425785638189114E-2</v>
      </c>
      <c r="K9" s="68">
        <v>6.4389956696247849E-2</v>
      </c>
      <c r="L9" s="68">
        <v>0.12112789940016067</v>
      </c>
      <c r="M9" s="68">
        <v>0.14190637795398744</v>
      </c>
    </row>
    <row r="10" spans="1:13" x14ac:dyDescent="0.35">
      <c r="B10" s="18" t="s">
        <v>58</v>
      </c>
      <c r="C10" s="68">
        <v>1.5010585926140003E-2</v>
      </c>
      <c r="D10" s="68">
        <v>1.4534048814871406E-2</v>
      </c>
      <c r="E10" s="68">
        <v>1.3361939478495141E-2</v>
      </c>
      <c r="F10" s="68">
        <v>6.5243289917253193E-3</v>
      </c>
      <c r="G10" s="68">
        <v>1.1669882530333986E-2</v>
      </c>
      <c r="H10" s="68">
        <v>1.1190926573373991E-2</v>
      </c>
      <c r="I10" s="68">
        <v>4.4040792194443585E-3</v>
      </c>
      <c r="J10" s="68">
        <v>2.8864015539659994E-2</v>
      </c>
      <c r="K10" s="68">
        <v>2.6989201914469702E-2</v>
      </c>
      <c r="L10" s="68">
        <v>1.3478648708009973E-2</v>
      </c>
      <c r="M10" s="68">
        <v>1.7503080496577422E-2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4.9479534151274181E-7</v>
      </c>
    </row>
    <row r="12" spans="1:13" x14ac:dyDescent="0.35">
      <c r="B12" s="23"/>
      <c r="C12" s="21">
        <v>1</v>
      </c>
      <c r="D12" s="21">
        <v>0.99999999999999989</v>
      </c>
      <c r="E12" s="21">
        <v>1</v>
      </c>
      <c r="F12" s="21">
        <v>0.99999999999999989</v>
      </c>
      <c r="G12" s="21">
        <v>1</v>
      </c>
      <c r="H12" s="21">
        <v>0.99999999999999989</v>
      </c>
      <c r="I12" s="21">
        <v>1</v>
      </c>
      <c r="J12" s="21">
        <v>1.0000000000000002</v>
      </c>
      <c r="K12" s="21">
        <v>1</v>
      </c>
      <c r="L12" s="21">
        <v>1</v>
      </c>
      <c r="M12" s="21">
        <v>0.99999999999999989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tabSelected="1" workbookViewId="0">
      <selection activeCell="D18" sqref="D18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54296875" style="15" customWidth="1"/>
    <col min="6" max="6" width="15.6328125" style="15" bestFit="1" customWidth="1"/>
    <col min="7" max="7" width="14.6328125" style="15" bestFit="1" customWidth="1"/>
    <col min="8" max="8" width="11" style="15" bestFit="1" customWidth="1"/>
    <col min="9" max="11" width="11.26953125" style="15" bestFit="1" customWidth="1"/>
    <col min="12" max="12" width="11.7265625" style="28" customWidth="1"/>
    <col min="13" max="16384" width="9.1796875" style="28"/>
  </cols>
  <sheetData>
    <row r="1" spans="1:14" x14ac:dyDescent="0.35">
      <c r="A1" s="39" t="str">
        <f>'Fixed rate bond (Values)'!A1</f>
        <v>28 July 2025</v>
      </c>
    </row>
    <row r="2" spans="1:14" x14ac:dyDescent="0.35">
      <c r="A2" s="17"/>
      <c r="B2" s="18" t="s">
        <v>40</v>
      </c>
      <c r="C2" s="18" t="s">
        <v>75</v>
      </c>
      <c r="D2" s="53" t="s">
        <v>79</v>
      </c>
      <c r="E2" s="53" t="s">
        <v>92</v>
      </c>
      <c r="F2" s="53" t="s">
        <v>52</v>
      </c>
      <c r="L2" s="15"/>
      <c r="M2" s="15"/>
    </row>
    <row r="3" spans="1:14" x14ac:dyDescent="0.35">
      <c r="B3" s="18" t="s">
        <v>53</v>
      </c>
      <c r="C3" s="64">
        <v>214814011</v>
      </c>
      <c r="D3" s="64">
        <v>642970000</v>
      </c>
      <c r="E3" s="64">
        <v>167330000</v>
      </c>
      <c r="F3" s="54">
        <v>1025114011</v>
      </c>
      <c r="L3" s="15"/>
      <c r="M3" s="15"/>
      <c r="N3" s="50"/>
    </row>
    <row r="4" spans="1:14" x14ac:dyDescent="0.35">
      <c r="B4" s="18" t="s">
        <v>71</v>
      </c>
      <c r="C4" s="64">
        <v>51170164877</v>
      </c>
      <c r="D4" s="64">
        <v>54963891227</v>
      </c>
      <c r="E4" s="64">
        <v>21249694000</v>
      </c>
      <c r="F4" s="54">
        <v>127383750104</v>
      </c>
      <c r="L4" s="15"/>
      <c r="M4" s="15"/>
      <c r="N4" s="50"/>
    </row>
    <row r="5" spans="1:14" x14ac:dyDescent="0.35">
      <c r="B5" s="18" t="s">
        <v>54</v>
      </c>
      <c r="C5" s="64">
        <v>1482640000</v>
      </c>
      <c r="D5" s="64">
        <v>7647179000</v>
      </c>
      <c r="E5" s="64">
        <v>1849873000</v>
      </c>
      <c r="F5" s="54">
        <v>10979692000</v>
      </c>
      <c r="L5" s="15"/>
      <c r="M5" s="15"/>
      <c r="N5" s="50"/>
    </row>
    <row r="6" spans="1:14" x14ac:dyDescent="0.35">
      <c r="B6" s="18" t="s">
        <v>55</v>
      </c>
      <c r="C6" s="64">
        <v>1412750000</v>
      </c>
      <c r="D6" s="64">
        <v>662927000</v>
      </c>
      <c r="E6" s="64">
        <v>449025000</v>
      </c>
      <c r="F6" s="54">
        <v>2524702000</v>
      </c>
      <c r="L6" s="15"/>
      <c r="M6" s="15"/>
      <c r="N6" s="50"/>
    </row>
    <row r="7" spans="1:14" x14ac:dyDescent="0.35">
      <c r="B7" s="18" t="s">
        <v>56</v>
      </c>
      <c r="C7" s="64">
        <v>114800000</v>
      </c>
      <c r="D7" s="64">
        <v>790586000</v>
      </c>
      <c r="E7" s="64">
        <v>217480000</v>
      </c>
      <c r="F7" s="54">
        <v>1122866000</v>
      </c>
      <c r="L7" s="15"/>
      <c r="M7" s="15"/>
      <c r="N7" s="50"/>
    </row>
    <row r="8" spans="1:14" x14ac:dyDescent="0.35">
      <c r="B8" s="18" t="s">
        <v>57</v>
      </c>
      <c r="C8" s="64">
        <v>43000000</v>
      </c>
      <c r="D8" s="64">
        <v>428907000</v>
      </c>
      <c r="E8" s="64">
        <v>84300000</v>
      </c>
      <c r="F8" s="54">
        <v>556207000</v>
      </c>
      <c r="L8" s="15"/>
      <c r="M8" s="15"/>
      <c r="N8" s="50"/>
    </row>
    <row r="9" spans="1:14" x14ac:dyDescent="0.35">
      <c r="B9" s="18" t="s">
        <v>5</v>
      </c>
      <c r="C9" s="64">
        <v>16590732509</v>
      </c>
      <c r="D9" s="64">
        <v>46702039773</v>
      </c>
      <c r="E9" s="64">
        <v>25176998000</v>
      </c>
      <c r="F9" s="54">
        <v>88469770282</v>
      </c>
      <c r="L9" s="15"/>
      <c r="M9" s="15"/>
      <c r="N9" s="50"/>
    </row>
    <row r="10" spans="1:14" x14ac:dyDescent="0.35">
      <c r="B10" s="18" t="s">
        <v>58</v>
      </c>
      <c r="C10" s="64">
        <v>46098603</v>
      </c>
      <c r="D10" s="64">
        <v>601500000</v>
      </c>
      <c r="E10" s="64">
        <v>475300000</v>
      </c>
      <c r="F10" s="54">
        <v>1122898603</v>
      </c>
      <c r="L10" s="15"/>
      <c r="M10" s="15"/>
      <c r="N10" s="50"/>
    </row>
    <row r="11" spans="1:14" x14ac:dyDescent="0.35">
      <c r="B11" s="19" t="s">
        <v>59</v>
      </c>
      <c r="C11" s="65">
        <v>0</v>
      </c>
      <c r="D11" s="65">
        <v>0</v>
      </c>
      <c r="E11" s="65">
        <v>0</v>
      </c>
      <c r="F11" s="54">
        <v>0</v>
      </c>
      <c r="L11" s="15"/>
      <c r="M11" s="15"/>
      <c r="N11" s="50"/>
    </row>
    <row r="12" spans="1:14" x14ac:dyDescent="0.35">
      <c r="B12" s="19"/>
      <c r="C12" s="20">
        <v>71075000000</v>
      </c>
      <c r="D12" s="20">
        <v>112440000000</v>
      </c>
      <c r="E12" s="20">
        <v>49670000000</v>
      </c>
      <c r="F12" s="54">
        <v>233185000000</v>
      </c>
      <c r="G12" s="26"/>
      <c r="L12" s="15"/>
      <c r="M12" s="15"/>
    </row>
    <row r="13" spans="1:14" x14ac:dyDescent="0.35">
      <c r="C13" s="30"/>
      <c r="D13" s="30"/>
      <c r="E13" s="30"/>
      <c r="L13" s="15"/>
      <c r="M13" s="15"/>
    </row>
    <row r="17" spans="2:11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1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selection activeCell="E17" sqref="E17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3" width="13.26953125" style="15" customWidth="1"/>
    <col min="4" max="4" width="13.26953125" style="15" bestFit="1" customWidth="1"/>
    <col min="5" max="5" width="13.26953125" style="15" customWidth="1"/>
    <col min="6" max="16384" width="8.7265625" style="15"/>
  </cols>
  <sheetData>
    <row r="1" spans="1:6" ht="14" x14ac:dyDescent="0.3">
      <c r="A1" s="39" t="str">
        <f>'Fixed rate bond (Values)'!A1</f>
        <v>28 July 2025</v>
      </c>
    </row>
    <row r="3" spans="1:6" ht="13" x14ac:dyDescent="0.3">
      <c r="B3" s="18" t="s">
        <v>40</v>
      </c>
      <c r="C3" s="22" t="s">
        <v>75</v>
      </c>
      <c r="D3" s="43" t="s">
        <v>79</v>
      </c>
      <c r="E3" s="43" t="s">
        <v>92</v>
      </c>
      <c r="F3" s="43" t="s">
        <v>70</v>
      </c>
    </row>
    <row r="4" spans="1:6" ht="13" x14ac:dyDescent="0.3">
      <c r="B4" s="18" t="s">
        <v>53</v>
      </c>
      <c r="C4" s="67">
        <v>3.0223568202602884E-3</v>
      </c>
      <c r="D4" s="70">
        <v>5.7183386695126293E-3</v>
      </c>
      <c r="E4" s="70">
        <v>3.3688343064223877E-3</v>
      </c>
      <c r="F4" s="69">
        <v>4.3961404507150978E-3</v>
      </c>
    </row>
    <row r="5" spans="1:6" ht="13" x14ac:dyDescent="0.3">
      <c r="B5" s="18" t="s">
        <v>71</v>
      </c>
      <c r="C5" s="67">
        <v>0.71994604118185013</v>
      </c>
      <c r="D5" s="70">
        <v>0.48882863062077553</v>
      </c>
      <c r="E5" s="70">
        <v>0.42781747533722569</v>
      </c>
      <c r="F5" s="69">
        <v>0.54627763408452512</v>
      </c>
    </row>
    <row r="6" spans="1:6" ht="13" x14ac:dyDescent="0.3">
      <c r="B6" s="18" t="s">
        <v>54</v>
      </c>
      <c r="C6" s="67">
        <v>2.0860218079493491E-2</v>
      </c>
      <c r="D6" s="70">
        <v>6.801119708288865E-2</v>
      </c>
      <c r="E6" s="70">
        <v>3.7243265552647474E-2</v>
      </c>
      <c r="F6" s="69">
        <v>4.7085755944850656E-2</v>
      </c>
    </row>
    <row r="7" spans="1:6" ht="13" x14ac:dyDescent="0.3">
      <c r="B7" s="18" t="s">
        <v>55</v>
      </c>
      <c r="C7" s="67">
        <v>1.9876890608512134E-2</v>
      </c>
      <c r="D7" s="70">
        <v>5.8958288865172534E-3</v>
      </c>
      <c r="E7" s="70">
        <v>9.0401650895913024E-3</v>
      </c>
      <c r="F7" s="69">
        <v>1.0827034328966272E-2</v>
      </c>
    </row>
    <row r="8" spans="1:6" ht="13" x14ac:dyDescent="0.3">
      <c r="B8" s="18" t="s">
        <v>56</v>
      </c>
      <c r="C8" s="67">
        <v>1.6151952163207879E-3</v>
      </c>
      <c r="D8" s="70">
        <v>7.0311810743507652E-3</v>
      </c>
      <c r="E8" s="70">
        <v>4.3784980873766864E-3</v>
      </c>
      <c r="F8" s="69">
        <v>4.815344040139803E-3</v>
      </c>
    </row>
    <row r="9" spans="1:6" ht="13" x14ac:dyDescent="0.3">
      <c r="B9" s="18" t="s">
        <v>57</v>
      </c>
      <c r="C9" s="67">
        <v>6.04994723883222E-4</v>
      </c>
      <c r="D9" s="70">
        <v>3.8145410885805763E-3</v>
      </c>
      <c r="E9" s="70">
        <v>1.6972015300986511E-3</v>
      </c>
      <c r="F9" s="69">
        <v>2.3852606299719107E-3</v>
      </c>
    </row>
    <row r="10" spans="1:6" ht="13" x14ac:dyDescent="0.3">
      <c r="B10" s="18" t="s">
        <v>5</v>
      </c>
      <c r="C10" s="67">
        <v>0.23342571240239185</v>
      </c>
      <c r="D10" s="70">
        <v>0.41535076283351119</v>
      </c>
      <c r="E10" s="70">
        <v>0.50688540366418366</v>
      </c>
      <c r="F10" s="69">
        <v>0.3793973466646654</v>
      </c>
    </row>
    <row r="11" spans="1:6" ht="13" x14ac:dyDescent="0.3">
      <c r="B11" s="18" t="s">
        <v>58</v>
      </c>
      <c r="C11" s="67">
        <v>6.4859096728807602E-4</v>
      </c>
      <c r="D11" s="70">
        <v>5.3495197438633941E-3</v>
      </c>
      <c r="E11" s="70">
        <v>9.569156432454198E-3</v>
      </c>
      <c r="F11" s="69">
        <v>4.8154838561657049E-3</v>
      </c>
    </row>
    <row r="12" spans="1:6" ht="13" x14ac:dyDescent="0.3">
      <c r="B12" s="18" t="s">
        <v>59</v>
      </c>
      <c r="C12" s="67">
        <v>0</v>
      </c>
      <c r="D12" s="70">
        <v>0</v>
      </c>
      <c r="E12" s="70">
        <v>0</v>
      </c>
      <c r="F12" s="69">
        <v>0</v>
      </c>
    </row>
    <row r="13" spans="1:6" ht="13" x14ac:dyDescent="0.3">
      <c r="B13" s="23"/>
      <c r="C13" s="21">
        <v>1</v>
      </c>
      <c r="D13" s="21">
        <v>1</v>
      </c>
      <c r="E13" s="21">
        <v>1</v>
      </c>
      <c r="F13" s="21"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G12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28 July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v>15601785000</v>
      </c>
    </row>
    <row r="5" spans="1:7" x14ac:dyDescent="0.35">
      <c r="B5" s="18" t="s">
        <v>54</v>
      </c>
      <c r="C5" s="64">
        <v>28500000</v>
      </c>
      <c r="D5" s="64">
        <v>30345000</v>
      </c>
      <c r="E5" s="64">
        <v>30700000</v>
      </c>
      <c r="F5" s="64">
        <v>0</v>
      </c>
      <c r="G5" s="53">
        <v>89545000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v>19189549</v>
      </c>
    </row>
    <row r="8" spans="1:7" x14ac:dyDescent="0.35">
      <c r="B8" s="18" t="s">
        <v>57</v>
      </c>
      <c r="C8" s="64">
        <v>35000000</v>
      </c>
      <c r="D8" s="64">
        <v>0</v>
      </c>
      <c r="E8" s="64">
        <v>97000000</v>
      </c>
      <c r="F8" s="64">
        <v>138000000</v>
      </c>
      <c r="G8" s="53">
        <v>270000000</v>
      </c>
    </row>
    <row r="9" spans="1:7" x14ac:dyDescent="0.35">
      <c r="B9" s="18" t="s">
        <v>5</v>
      </c>
      <c r="C9" s="64">
        <v>1562715000</v>
      </c>
      <c r="D9" s="64">
        <v>917016618</v>
      </c>
      <c r="E9" s="64">
        <v>1096617910</v>
      </c>
      <c r="F9" s="64">
        <v>783000000</v>
      </c>
      <c r="G9" s="53">
        <v>4359349528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v>0</v>
      </c>
    </row>
    <row r="12" spans="1:7" x14ac:dyDescent="0.35">
      <c r="B12" s="19"/>
      <c r="C12" s="20">
        <v>7490000000</v>
      </c>
      <c r="D12" s="20">
        <v>8866000000</v>
      </c>
      <c r="E12" s="20">
        <v>2479000000</v>
      </c>
      <c r="F12" s="20">
        <v>1551000000</v>
      </c>
      <c r="G12" s="20"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C3" sqref="C3:G12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28 July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3.4226257613354386E-3</v>
      </c>
      <c r="E5" s="67">
        <v>1.2384025816861637E-2</v>
      </c>
      <c r="F5" s="67">
        <v>0</v>
      </c>
      <c r="G5" s="69">
        <v>4.3924752280977142E-3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0</v>
      </c>
      <c r="E8" s="67">
        <v>3.9128680919725697E-2</v>
      </c>
      <c r="F8" s="67">
        <v>8.8974854932301742E-2</v>
      </c>
      <c r="G8" s="69">
        <v>1.3244383400372805E-2</v>
      </c>
    </row>
    <row r="9" spans="1:7" x14ac:dyDescent="0.35">
      <c r="B9" s="18" t="s">
        <v>5</v>
      </c>
      <c r="C9" s="67">
        <v>0.20864018691588784</v>
      </c>
      <c r="D9" s="67">
        <v>0.10343070358673584</v>
      </c>
      <c r="E9" s="67">
        <v>0.44236301331181926</v>
      </c>
      <c r="F9" s="67">
        <v>0.50483558994197297</v>
      </c>
      <c r="G9" s="69">
        <v>0.21384035750024527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Malerato Phokane</cp:lastModifiedBy>
  <dcterms:created xsi:type="dcterms:W3CDTF">2016-03-09T09:54:02Z</dcterms:created>
  <dcterms:modified xsi:type="dcterms:W3CDTF">2025-08-04T09:37:21Z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