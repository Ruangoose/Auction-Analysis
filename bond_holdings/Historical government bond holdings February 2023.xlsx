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Signing hub\"/>
    </mc:Choice>
  </mc:AlternateContent>
  <xr:revisionPtr revIDLastSave="0" documentId="8_{8D46B2C1-78CD-4897-9A28-B357362AD879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C12" i="6"/>
  <c r="E12" i="5"/>
  <c r="F12" i="5"/>
  <c r="G12" i="5"/>
  <c r="H12" i="5"/>
  <c r="I12" i="5"/>
  <c r="J12" i="5"/>
  <c r="K12" i="5"/>
  <c r="L12" i="5"/>
  <c r="M12" i="5"/>
  <c r="D12" i="5"/>
  <c r="M4" i="4"/>
  <c r="M5" i="4"/>
  <c r="M6" i="4"/>
  <c r="M7" i="4"/>
  <c r="M8" i="4"/>
  <c r="M9" i="4"/>
  <c r="M10" i="4"/>
  <c r="M11" i="4"/>
  <c r="M3" i="4"/>
  <c r="E12" i="4"/>
  <c r="F12" i="4"/>
  <c r="G12" i="4"/>
  <c r="H12" i="4"/>
  <c r="I12" i="4"/>
  <c r="J12" i="4"/>
  <c r="K12" i="4"/>
  <c r="L12" i="4"/>
  <c r="D12" i="4"/>
  <c r="E12" i="3"/>
  <c r="F12" i="3"/>
  <c r="G12" i="3"/>
  <c r="H12" i="3"/>
  <c r="I12" i="3"/>
  <c r="J12" i="3"/>
  <c r="K12" i="3"/>
  <c r="L12" i="3"/>
  <c r="M12" i="3"/>
  <c r="N12" i="3"/>
  <c r="O12" i="3"/>
  <c r="P12" i="3"/>
  <c r="D12" i="3"/>
  <c r="P5" i="2"/>
  <c r="P6" i="2"/>
  <c r="P7" i="2"/>
  <c r="P8" i="2"/>
  <c r="P9" i="2"/>
  <c r="P10" i="2"/>
  <c r="P12" i="2" s="1"/>
  <c r="P11" i="2"/>
  <c r="P4" i="2"/>
  <c r="P3" i="2"/>
  <c r="E12" i="2"/>
  <c r="F12" i="2"/>
  <c r="G12" i="2"/>
  <c r="H12" i="2"/>
  <c r="I12" i="2"/>
  <c r="J12" i="2"/>
  <c r="K12" i="2"/>
  <c r="L12" i="2"/>
  <c r="M12" i="2"/>
  <c r="N12" i="2"/>
  <c r="O12" i="2"/>
  <c r="D12" i="2"/>
  <c r="A1" i="4"/>
  <c r="A1" i="5"/>
  <c r="A1" i="6"/>
  <c r="A1" i="7"/>
  <c r="A1" i="3"/>
  <c r="M12" i="4" l="1"/>
</calcChain>
</file>

<file path=xl/sharedStrings.xml><?xml version="1.0" encoding="utf-8"?>
<sst xmlns="http://schemas.openxmlformats.org/spreadsheetml/2006/main" count="278" uniqueCount="83">
  <si>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</si>
  <si>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</si>
  <si>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</si>
  <si>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</si>
  <si>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</si>
  <si>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</si>
  <si>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</si>
  <si>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</si>
  <si>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</si>
  <si>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</si>
  <si>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</si>
  <si>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</si>
  <si>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</si>
  <si>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</si>
  <si>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</si>
  <si>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</si>
  <si>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</si>
  <si>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</si>
  <si>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</si>
  <si>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</si>
  <si>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</si>
  <si>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</si>
  <si>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</si>
  <si>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</si>
  <si>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</si>
  <si>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</si>
  <si>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</si>
  <si>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</si>
  <si>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</si>
  <si>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</si>
  <si>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</si>
  <si>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</si>
  <si>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</si>
  <si>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</si>
  <si>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</si>
  <si>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</si>
  <si>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</si>
  <si>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</si>
  <si>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</si>
  <si>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</si>
  <si>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</si>
  <si>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R2023 (2023)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</si>
  <si>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</si>
  <si>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</si>
  <si>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</si>
  <si>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</si>
  <si>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</si>
  <si>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</si>
  <si>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</si>
  <si>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</si>
  <si>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</si>
  <si>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</si>
  <si>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</si>
  <si>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</si>
  <si>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</si>
  <si>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</si>
  <si>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</si>
  <si>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</si>
  <si>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</si>
  <si>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</si>
  <si>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</si>
  <si>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</si>
  <si>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</si>
  <si>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</si>
  <si>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</si>
  <si>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</si>
  <si>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</si>
  <si>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</si>
  <si>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</si>
  <si>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</si>
  <si>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</si>
  <si>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</si>
  <si>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</si>
  <si>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Amount</t>
  </si>
  <si>
    <t>TOTAL</t>
  </si>
  <si>
    <t>Monetary institutions</t>
  </si>
  <si>
    <t>2020</t>
  </si>
  <si>
    <t>2021</t>
  </si>
  <si>
    <t>2022</t>
  </si>
  <si>
    <t>R2027 (2027)</t>
  </si>
  <si>
    <t>RN2027 (2027)</t>
  </si>
  <si>
    <t>2023</t>
  </si>
  <si>
    <t>24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</si>
</sst>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quotePrefix="1" applyNumberFormat="1" applyFont="1" applyFill="1" applyAlignment="1">
      <alignment horizontal="left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quotePrefix="1" applyNumberFormat="1" applyFont="1" applyFill="1" applyAlignment="1">
      <alignment horizontal="left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0" fontId="0" fillId="24" borderId="0" xfId="0" applyFill="1"/>
    <xf numFmtId="17" fontId="2" fillId="25" borderId="0" xfId="0" quotePrefix="1" applyNumberFormat="1" applyFont="1" applyFill="1" applyAlignment="1">
      <alignment horizontal="left"/>
    </xf>
    <xf numFmtId="17" fontId="2" fillId="25" borderId="0" xfId="0" applyNumberFormat="1" applyFont="1" applyFill="1" applyAlignment="1">
      <alignment horizontal="left"/>
    </xf>
    <xf numFmtId="46" fontId="2" fillId="25" borderId="0" xfId="0" quotePrefix="1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15" fontId="28" fillId="0" borderId="0" xfId="0" applyNumberFormat="1" applyFont="1"/>
    <xf numFmtId="15" fontId="28" fillId="25" borderId="0" xfId="0" quotePrefix="1" applyNumberFormat="1" applyFont="1" applyFill="1"/>
    <xf numFmtId="0" fontId="29" fillId="0" borderId="0" xfId="57" applyFont="1" applyAlignment="1">
      <alignment horizontal="left" wrapText="1" readingOrder="1"/>
    </xf>
    <xf numFmtId="0" fontId="29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" fontId="27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workbookViewId="0">
      <pane ySplit="1" topLeftCell="A133" activePane="bottomLeft" state="frozen"/>
      <selection pane="bottomLeft" activeCell="I146" sqref="I146"/>
    </sheetView>
  </sheetViews>
  <sheetFormatPr defaultRowHeight="14.5" x14ac:dyDescent="0.35"/>
  <cols>
    <col min="1" max="1" width="10.179687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9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" t="s">
        <v>7</v>
      </c>
      <c r="B2" s="6"/>
      <c r="C2" s="7">
        <v>8.5900000000000004E-2</v>
      </c>
      <c r="D2" s="7">
        <v>0.13988529511698744</v>
      </c>
      <c r="E2" s="7">
        <v>0.10038666479790452</v>
      </c>
      <c r="F2" s="7">
        <v>0.447935118009407</v>
      </c>
      <c r="G2" s="7">
        <v>0.21052331683016018</v>
      </c>
      <c r="H2" s="7">
        <v>1.5349075325321933E-2</v>
      </c>
    </row>
    <row r="3" spans="1:8" x14ac:dyDescent="0.35">
      <c r="A3" s="5" t="s">
        <v>8</v>
      </c>
      <c r="B3" s="6"/>
      <c r="C3" s="7">
        <v>0.1042</v>
      </c>
      <c r="D3" s="7">
        <v>0.16281960799115436</v>
      </c>
      <c r="E3" s="7">
        <v>0.13024001189736514</v>
      </c>
      <c r="F3" s="7">
        <v>0.46416800602488872</v>
      </c>
      <c r="G3" s="7">
        <v>0.11960528531595467</v>
      </c>
      <c r="H3" s="7">
        <v>1.8993807561513976E-2</v>
      </c>
    </row>
    <row r="4" spans="1:8" x14ac:dyDescent="0.35">
      <c r="A4" s="5" t="s">
        <v>9</v>
      </c>
      <c r="B4" s="6"/>
      <c r="C4" s="7">
        <v>0.12837598221086174</v>
      </c>
      <c r="D4" s="7">
        <v>0.18001583340718372</v>
      </c>
      <c r="E4" s="7">
        <v>0.1366303306834801</v>
      </c>
      <c r="F4" s="7">
        <v>0.43894899121026826</v>
      </c>
      <c r="G4" s="7">
        <v>0.10222480972904076</v>
      </c>
      <c r="H4" s="7">
        <v>1.3804052759165568E-2</v>
      </c>
    </row>
    <row r="5" spans="1:8" x14ac:dyDescent="0.35">
      <c r="A5" s="5" t="s">
        <v>10</v>
      </c>
      <c r="B5" s="6"/>
      <c r="C5" s="7">
        <v>0.13769999999999999</v>
      </c>
      <c r="D5" s="7">
        <v>0.18269688370611617</v>
      </c>
      <c r="E5" s="7">
        <v>0.12427387670421214</v>
      </c>
      <c r="F5" s="7">
        <v>0.39932636765992086</v>
      </c>
      <c r="G5" s="7">
        <v>0.13207275257893292</v>
      </c>
      <c r="H5" s="7">
        <v>2.3926890480519152E-2</v>
      </c>
    </row>
    <row r="6" spans="1:8" x14ac:dyDescent="0.35">
      <c r="A6" s="5" t="s">
        <v>11</v>
      </c>
      <c r="B6" s="6"/>
      <c r="C6" s="8">
        <v>0.21768878730515343</v>
      </c>
      <c r="D6" s="7">
        <v>0.17713250212217385</v>
      </c>
      <c r="E6" s="7">
        <v>0.14145029885446725</v>
      </c>
      <c r="F6" s="7">
        <v>0.36454108266525492</v>
      </c>
      <c r="G6" s="7">
        <v>8.1115579700094489E-2</v>
      </c>
      <c r="H6" s="7">
        <v>1.8071749352855992E-2</v>
      </c>
    </row>
    <row r="7" spans="1:8" x14ac:dyDescent="0.35">
      <c r="A7" s="9" t="s">
        <v>12</v>
      </c>
      <c r="B7" s="10" t="s">
        <v>13</v>
      </c>
      <c r="C7" s="11">
        <v>0.2258450076375704</v>
      </c>
      <c r="D7" s="11">
        <v>0.1705205559884731</v>
      </c>
      <c r="E7" s="11">
        <v>0.141029961055502</v>
      </c>
      <c r="F7" s="11">
        <v>0.36940926583475875</v>
      </c>
      <c r="G7" s="11">
        <v>7.1415119789129192E-2</v>
      </c>
      <c r="H7" s="11">
        <v>2.1780089694566466E-2</v>
      </c>
    </row>
    <row r="8" spans="1:8" x14ac:dyDescent="0.35">
      <c r="A8" s="12"/>
      <c r="B8" s="6" t="s">
        <v>14</v>
      </c>
      <c r="C8" s="7">
        <v>0.228200524272337</v>
      </c>
      <c r="D8" s="7">
        <v>0.16342779383838205</v>
      </c>
      <c r="E8" s="7">
        <v>0.133909413483147</v>
      </c>
      <c r="F8" s="7">
        <v>0.37984410754312692</v>
      </c>
      <c r="G8" s="7">
        <v>6.1368209465259102E-2</v>
      </c>
      <c r="H8" s="7">
        <v>3.3249951397747855E-2</v>
      </c>
    </row>
    <row r="9" spans="1:8" x14ac:dyDescent="0.35">
      <c r="A9" s="12"/>
      <c r="B9" s="6" t="s">
        <v>15</v>
      </c>
      <c r="C9" s="7">
        <v>0.26120832586879145</v>
      </c>
      <c r="D9" s="7">
        <v>0.1654042479614142</v>
      </c>
      <c r="E9" s="7">
        <v>0.12712703045063942</v>
      </c>
      <c r="F9" s="7">
        <v>0.35804420501898498</v>
      </c>
      <c r="G9" s="7">
        <v>6.034576744832839E-2</v>
      </c>
      <c r="H9" s="7">
        <v>2.7870423251841501E-2</v>
      </c>
    </row>
    <row r="10" spans="1:8" x14ac:dyDescent="0.35">
      <c r="A10" s="12"/>
      <c r="B10" s="6" t="s">
        <v>16</v>
      </c>
      <c r="C10" s="7">
        <v>0.26903586464978774</v>
      </c>
      <c r="D10" s="7">
        <v>0.16649035215152308</v>
      </c>
      <c r="E10" s="7">
        <v>0.12353168875964102</v>
      </c>
      <c r="F10" s="7">
        <v>0.35310628759718632</v>
      </c>
      <c r="G10" s="7">
        <v>6.0924951833840772E-2</v>
      </c>
      <c r="H10" s="7">
        <v>2.6910855008021019E-2</v>
      </c>
    </row>
    <row r="11" spans="1:8" x14ac:dyDescent="0.35">
      <c r="A11" s="12"/>
      <c r="B11" s="6" t="s">
        <v>17</v>
      </c>
      <c r="C11" s="7">
        <v>0.27504720432122309</v>
      </c>
      <c r="D11" s="7">
        <v>0.1689560445719572</v>
      </c>
      <c r="E11" s="7">
        <v>0.1251178426794696</v>
      </c>
      <c r="F11" s="7">
        <v>0.34519957291185127</v>
      </c>
      <c r="G11" s="7">
        <v>5.9455436763486476E-2</v>
      </c>
      <c r="H11" s="7">
        <v>2.6223898752012323E-2</v>
      </c>
    </row>
    <row r="12" spans="1:8" x14ac:dyDescent="0.35">
      <c r="A12" s="12"/>
      <c r="B12" s="6" t="s">
        <v>18</v>
      </c>
      <c r="C12" s="7">
        <v>0.29091738716264598</v>
      </c>
      <c r="D12" s="7">
        <v>0.16600833231717663</v>
      </c>
      <c r="E12" s="7">
        <v>0.11883232141043154</v>
      </c>
      <c r="F12" s="7">
        <v>0.33393495988143468</v>
      </c>
      <c r="G12" s="7">
        <v>6.4518522084442601E-2</v>
      </c>
      <c r="H12" s="7">
        <v>2.5788477143868182E-2</v>
      </c>
    </row>
    <row r="13" spans="1:8" x14ac:dyDescent="0.35">
      <c r="A13" s="12"/>
      <c r="B13" s="6" t="s">
        <v>19</v>
      </c>
      <c r="C13" s="7">
        <v>0.28334260750379597</v>
      </c>
      <c r="D13" s="7">
        <v>0.16746175818221276</v>
      </c>
      <c r="E13" s="7">
        <v>0.11619402564362649</v>
      </c>
      <c r="F13" s="7">
        <v>0.33766462208515713</v>
      </c>
      <c r="G13" s="7">
        <v>7.3745856025894271E-2</v>
      </c>
      <c r="H13" s="7">
        <v>2.1591130559313325E-2</v>
      </c>
    </row>
    <row r="14" spans="1:8" x14ac:dyDescent="0.35">
      <c r="A14" s="12"/>
      <c r="B14" s="6" t="s">
        <v>20</v>
      </c>
      <c r="C14" s="7">
        <v>0.28835320101328688</v>
      </c>
      <c r="D14" s="7">
        <v>0.16513262028125186</v>
      </c>
      <c r="E14" s="7">
        <v>0.11510527763825677</v>
      </c>
      <c r="F14" s="7">
        <v>0.33688692611110738</v>
      </c>
      <c r="G14" s="7">
        <v>7.3056577706168413E-2</v>
      </c>
      <c r="H14" s="7">
        <v>2.1465397249928686E-2</v>
      </c>
    </row>
    <row r="15" spans="1:8" x14ac:dyDescent="0.35">
      <c r="A15" s="12"/>
      <c r="B15" s="6" t="s">
        <v>21</v>
      </c>
      <c r="C15" s="7">
        <v>0.28752425195670733</v>
      </c>
      <c r="D15" s="7">
        <v>0.16126966418916003</v>
      </c>
      <c r="E15" s="7">
        <v>0.11635384752360332</v>
      </c>
      <c r="F15" s="7">
        <v>0.33617036952873786</v>
      </c>
      <c r="G15" s="7">
        <v>7.6250159790094668E-2</v>
      </c>
      <c r="H15" s="7">
        <v>2.2431707011696739E-2</v>
      </c>
    </row>
    <row r="16" spans="1:8" x14ac:dyDescent="0.35">
      <c r="A16" s="12"/>
      <c r="B16" s="6" t="s">
        <v>22</v>
      </c>
      <c r="C16" s="7">
        <v>0.28608451368214821</v>
      </c>
      <c r="D16" s="7">
        <v>0.16924441679057842</v>
      </c>
      <c r="E16" s="7">
        <v>0.11579286880963967</v>
      </c>
      <c r="F16" s="7">
        <v>0.33325084655212289</v>
      </c>
      <c r="G16" s="7">
        <v>7.4773662013855838E-2</v>
      </c>
      <c r="H16" s="7">
        <v>2.0853692151654876E-2</v>
      </c>
    </row>
    <row r="17" spans="1:8" x14ac:dyDescent="0.35">
      <c r="A17" s="9" t="s">
        <v>23</v>
      </c>
      <c r="B17" s="10" t="s">
        <v>13</v>
      </c>
      <c r="C17" s="11">
        <v>0.29064915014691828</v>
      </c>
      <c r="D17" s="11">
        <v>0.16274992537758282</v>
      </c>
      <c r="E17" s="11">
        <v>0.11644013974978014</v>
      </c>
      <c r="F17" s="11">
        <v>0.32946074307645473</v>
      </c>
      <c r="G17" s="11">
        <v>7.9670150900323394E-2</v>
      </c>
      <c r="H17" s="11">
        <v>2.1029890748940575E-2</v>
      </c>
    </row>
    <row r="18" spans="1:8" x14ac:dyDescent="0.35">
      <c r="A18" s="12"/>
      <c r="B18" s="6" t="s">
        <v>24</v>
      </c>
      <c r="C18" s="7">
        <v>0.29559999999999997</v>
      </c>
      <c r="D18" s="7">
        <v>0.17130000000000001</v>
      </c>
      <c r="E18" s="7">
        <v>0.111</v>
      </c>
      <c r="F18" s="7">
        <v>0.32389999999999997</v>
      </c>
      <c r="G18" s="7">
        <v>7.5899999999999995E-2</v>
      </c>
      <c r="H18" s="7">
        <v>2.2200000000000001E-2</v>
      </c>
    </row>
    <row r="19" spans="1:8" x14ac:dyDescent="0.35">
      <c r="A19" s="12"/>
      <c r="B19" s="6" t="s">
        <v>25</v>
      </c>
      <c r="C19" s="7">
        <v>0.29239999999999999</v>
      </c>
      <c r="D19" s="7">
        <v>0.17019999999999999</v>
      </c>
      <c r="E19" s="7">
        <v>0.1154</v>
      </c>
      <c r="F19" s="7">
        <v>0.32429999999999998</v>
      </c>
      <c r="G19" s="7">
        <v>7.5700000000000003E-2</v>
      </c>
      <c r="H19" s="7">
        <v>2.2000000000000002E-2</v>
      </c>
    </row>
    <row r="20" spans="1:8" x14ac:dyDescent="0.35">
      <c r="A20" s="12"/>
      <c r="B20" s="6" t="s">
        <v>26</v>
      </c>
      <c r="C20" s="7">
        <v>0.31040000000000001</v>
      </c>
      <c r="D20" s="7">
        <v>0.16689999999999999</v>
      </c>
      <c r="E20" s="7">
        <v>0.1108</v>
      </c>
      <c r="F20" s="7">
        <v>0.32040000000000002</v>
      </c>
      <c r="G20" s="7">
        <v>6.88E-2</v>
      </c>
      <c r="H20" s="7">
        <v>2.2600000000000006E-2</v>
      </c>
    </row>
    <row r="21" spans="1:8" x14ac:dyDescent="0.35">
      <c r="A21" s="12"/>
      <c r="B21" s="6" t="s">
        <v>15</v>
      </c>
      <c r="C21" s="7">
        <v>0.315</v>
      </c>
      <c r="D21" s="7">
        <v>0.17229999999999998</v>
      </c>
      <c r="E21" s="7">
        <v>0.1085</v>
      </c>
      <c r="F21" s="7">
        <v>0.315</v>
      </c>
      <c r="G21" s="7">
        <v>6.7599999999999993E-2</v>
      </c>
      <c r="H21" s="7">
        <v>2.1700000000000001E-2</v>
      </c>
    </row>
    <row r="22" spans="1:8" x14ac:dyDescent="0.35">
      <c r="A22" s="12"/>
      <c r="B22" s="6" t="s">
        <v>16</v>
      </c>
      <c r="C22" s="7">
        <v>0.31990000000000002</v>
      </c>
      <c r="D22" s="7">
        <v>0.17749999999999999</v>
      </c>
      <c r="E22" s="7">
        <v>0.1108</v>
      </c>
      <c r="F22" s="7">
        <v>0.30939999999999995</v>
      </c>
      <c r="G22" s="7">
        <v>6.0699999999999997E-2</v>
      </c>
      <c r="H22" s="7">
        <v>2.1500000000000002E-2</v>
      </c>
    </row>
    <row r="23" spans="1:8" x14ac:dyDescent="0.35">
      <c r="A23" s="12"/>
      <c r="B23" s="6" t="s">
        <v>27</v>
      </c>
      <c r="C23" s="7">
        <v>0.33329999999999999</v>
      </c>
      <c r="D23" s="7">
        <v>0.1759</v>
      </c>
      <c r="E23" s="7">
        <v>0.1041</v>
      </c>
      <c r="F23" s="7">
        <v>0.30619999999999997</v>
      </c>
      <c r="G23" s="7">
        <v>5.8200000000000002E-2</v>
      </c>
      <c r="H23" s="7">
        <v>2.1999999999999999E-2</v>
      </c>
    </row>
    <row r="24" spans="1:8" x14ac:dyDescent="0.35">
      <c r="A24" s="12"/>
      <c r="B24" s="6" t="s">
        <v>18</v>
      </c>
      <c r="C24" s="7">
        <v>0.32719999999999999</v>
      </c>
      <c r="D24" s="7">
        <v>0.1784</v>
      </c>
      <c r="E24" s="7">
        <v>9.9000000000000005E-2</v>
      </c>
      <c r="F24" s="7">
        <v>0.30530000000000002</v>
      </c>
      <c r="G24" s="7">
        <v>6.6000000000000003E-2</v>
      </c>
      <c r="H24" s="7">
        <v>2.3800000000000002E-2</v>
      </c>
    </row>
    <row r="25" spans="1:8" x14ac:dyDescent="0.35">
      <c r="A25" s="12"/>
      <c r="B25" s="6" t="s">
        <v>19</v>
      </c>
      <c r="C25" s="7">
        <v>0.33310000000000001</v>
      </c>
      <c r="D25" s="7">
        <v>0.17389999999999997</v>
      </c>
      <c r="E25" s="7">
        <v>0.10349999999999999</v>
      </c>
      <c r="F25" s="7">
        <v>0.30199999999999994</v>
      </c>
      <c r="G25" s="7">
        <v>6.4899999999999999E-2</v>
      </c>
      <c r="H25" s="7">
        <v>2.3E-2</v>
      </c>
    </row>
    <row r="26" spans="1:8" x14ac:dyDescent="0.35">
      <c r="A26" s="12"/>
      <c r="B26" s="6" t="s">
        <v>20</v>
      </c>
      <c r="C26" s="7">
        <v>0.3518</v>
      </c>
      <c r="D26" s="7">
        <v>0.16390000000000002</v>
      </c>
      <c r="E26" s="7">
        <v>9.5899999999999999E-2</v>
      </c>
      <c r="F26" s="7">
        <v>0.30010000000000003</v>
      </c>
      <c r="G26" s="7">
        <v>6.4899999999999999E-2</v>
      </c>
      <c r="H26" s="7">
        <v>2.3400000000000004E-2</v>
      </c>
    </row>
    <row r="27" spans="1:8" x14ac:dyDescent="0.35">
      <c r="A27" s="12"/>
      <c r="B27" s="6" t="s">
        <v>21</v>
      </c>
      <c r="C27" s="7">
        <v>0.34970000000000001</v>
      </c>
      <c r="D27" s="7">
        <v>0.16510000000000002</v>
      </c>
      <c r="E27" s="7">
        <v>9.7100000000000006E-2</v>
      </c>
      <c r="F27" s="7">
        <v>0.2964</v>
      </c>
      <c r="G27" s="7">
        <v>6.7900000000000002E-2</v>
      </c>
      <c r="H27" s="7">
        <v>2.3800000000000002E-2</v>
      </c>
    </row>
    <row r="28" spans="1:8" x14ac:dyDescent="0.35">
      <c r="A28" s="12"/>
      <c r="B28" s="6" t="s">
        <v>22</v>
      </c>
      <c r="C28" s="7">
        <v>0.35880000000000001</v>
      </c>
      <c r="D28" s="7">
        <v>0.1701</v>
      </c>
      <c r="E28" s="7">
        <v>0.14079999999999998</v>
      </c>
      <c r="F28" s="7">
        <v>0.25159999999999999</v>
      </c>
      <c r="G28" s="7">
        <v>5.7799999999999997E-2</v>
      </c>
      <c r="H28" s="7">
        <v>2.0900000000000002E-2</v>
      </c>
    </row>
    <row r="29" spans="1:8" x14ac:dyDescent="0.35">
      <c r="A29" s="9" t="s">
        <v>28</v>
      </c>
      <c r="B29" s="10" t="s">
        <v>13</v>
      </c>
      <c r="C29" s="11">
        <v>0.36499999999999999</v>
      </c>
      <c r="D29" s="11">
        <v>0.1686</v>
      </c>
      <c r="E29" s="11">
        <v>8.9300000000000004E-2</v>
      </c>
      <c r="F29" s="11">
        <v>0.29680000000000001</v>
      </c>
      <c r="G29" s="11">
        <v>6.1699999999999998E-2</v>
      </c>
      <c r="H29" s="11">
        <v>1.8420000000000002E-2</v>
      </c>
    </row>
    <row r="30" spans="1:8" x14ac:dyDescent="0.35">
      <c r="A30" s="12"/>
      <c r="B30" s="6" t="s">
        <v>24</v>
      </c>
      <c r="C30" s="7">
        <v>0.36868489154048523</v>
      </c>
      <c r="D30" s="7">
        <v>0.1632762557263405</v>
      </c>
      <c r="E30" s="7">
        <v>8.4976227769939031E-2</v>
      </c>
      <c r="F30" s="7">
        <v>0.28072112461043186</v>
      </c>
      <c r="G30" s="7">
        <v>6.7730078372759545E-2</v>
      </c>
      <c r="H30" s="7">
        <v>3.4611421980043799E-2</v>
      </c>
    </row>
    <row r="31" spans="1:8" x14ac:dyDescent="0.35">
      <c r="A31" s="12"/>
      <c r="B31" s="6" t="s">
        <v>25</v>
      </c>
      <c r="C31" s="7">
        <v>0.38013154421057976</v>
      </c>
      <c r="D31" s="7">
        <v>0.14221124582735345</v>
      </c>
      <c r="E31" s="7">
        <v>8.8187465261916259E-2</v>
      </c>
      <c r="F31" s="7">
        <v>0.29061139643546424</v>
      </c>
      <c r="G31" s="7">
        <v>6.6615747707769749E-2</v>
      </c>
      <c r="H31" s="7">
        <v>3.2242600556916627E-2</v>
      </c>
    </row>
    <row r="32" spans="1:8" x14ac:dyDescent="0.35">
      <c r="A32" s="12"/>
      <c r="B32" s="6" t="s">
        <v>26</v>
      </c>
      <c r="C32" s="7">
        <v>0.38693612611416678</v>
      </c>
      <c r="D32" s="7">
        <v>0.14913183707444944</v>
      </c>
      <c r="E32" s="7">
        <v>8.1306311712689289E-2</v>
      </c>
      <c r="F32" s="7">
        <v>0.28565772622354463</v>
      </c>
      <c r="G32" s="7">
        <v>6.570444139114566E-2</v>
      </c>
      <c r="H32" s="7">
        <v>3.1263557484004355E-2</v>
      </c>
    </row>
    <row r="33" spans="1:8" x14ac:dyDescent="0.35">
      <c r="A33" s="12"/>
      <c r="B33" s="6" t="s">
        <v>15</v>
      </c>
      <c r="C33" s="7">
        <v>0.38200296940097361</v>
      </c>
      <c r="D33" s="7">
        <v>0.14654283745192756</v>
      </c>
      <c r="E33" s="7">
        <v>8.0464719502782889E-2</v>
      </c>
      <c r="F33" s="7">
        <v>0.28414198193557744</v>
      </c>
      <c r="G33" s="7">
        <v>7.409547726009412E-2</v>
      </c>
      <c r="H33" s="7">
        <v>3.2752014448644458E-2</v>
      </c>
    </row>
    <row r="34" spans="1:8" x14ac:dyDescent="0.35">
      <c r="A34" s="12"/>
      <c r="B34" s="6" t="s">
        <v>16</v>
      </c>
      <c r="C34" s="7">
        <v>0.36698699363774578</v>
      </c>
      <c r="D34" s="7">
        <v>0.14580192180022544</v>
      </c>
      <c r="E34" s="7">
        <v>9.0017530197892548E-2</v>
      </c>
      <c r="F34" s="7">
        <v>0.28612063272119986</v>
      </c>
      <c r="G34" s="7">
        <v>7.990502312973545E-2</v>
      </c>
      <c r="H34" s="7">
        <v>3.1167898513201044E-2</v>
      </c>
    </row>
    <row r="35" spans="1:8" x14ac:dyDescent="0.35">
      <c r="A35" s="12"/>
      <c r="B35" s="6" t="s">
        <v>27</v>
      </c>
      <c r="C35" s="7">
        <v>0.37139827457635316</v>
      </c>
      <c r="D35" s="7">
        <v>0.14864920727445921</v>
      </c>
      <c r="E35" s="7">
        <v>8.4694807501448047E-2</v>
      </c>
      <c r="F35" s="7">
        <v>0.2899393380965099</v>
      </c>
      <c r="G35" s="7">
        <v>7.348655964368471E-2</v>
      </c>
      <c r="H35" s="7">
        <v>3.1831812907545096E-2</v>
      </c>
    </row>
    <row r="36" spans="1:8" x14ac:dyDescent="0.35">
      <c r="A36" s="12"/>
      <c r="B36" s="6" t="s">
        <v>18</v>
      </c>
      <c r="C36" s="7">
        <v>0.3725152474975133</v>
      </c>
      <c r="D36" s="7">
        <v>0.14243383168248072</v>
      </c>
      <c r="E36" s="7">
        <v>8.5089289064313928E-2</v>
      </c>
      <c r="F36" s="7">
        <v>0.29090586038558547</v>
      </c>
      <c r="G36" s="7">
        <v>7.7910444361491901E-2</v>
      </c>
      <c r="H36" s="7">
        <v>3.1145327008614786E-2</v>
      </c>
    </row>
    <row r="37" spans="1:8" x14ac:dyDescent="0.35">
      <c r="A37" s="12"/>
      <c r="B37" s="6" t="s">
        <v>29</v>
      </c>
      <c r="C37" s="7">
        <v>0.374</v>
      </c>
      <c r="D37" s="7">
        <v>0.13900000000000001</v>
      </c>
      <c r="E37" s="7">
        <v>8.8999999999999996E-2</v>
      </c>
      <c r="F37" s="7">
        <v>0.28899999999999998</v>
      </c>
      <c r="G37" s="7">
        <v>7.8E-2</v>
      </c>
      <c r="H37" s="7">
        <v>3.1E-2</v>
      </c>
    </row>
    <row r="38" spans="1:8" x14ac:dyDescent="0.35">
      <c r="A38" s="12"/>
      <c r="B38" s="6" t="s">
        <v>30</v>
      </c>
      <c r="C38" s="7">
        <v>0.377</v>
      </c>
      <c r="D38" s="7">
        <v>0.1368</v>
      </c>
      <c r="E38" s="7">
        <v>8.6900000000000005E-2</v>
      </c>
      <c r="F38" s="7">
        <v>0.28939999999999999</v>
      </c>
      <c r="G38" s="7">
        <v>7.8100000000000003E-2</v>
      </c>
      <c r="H38" s="7">
        <v>3.1099999999999999E-2</v>
      </c>
    </row>
    <row r="39" spans="1:8" x14ac:dyDescent="0.35">
      <c r="A39" s="12"/>
      <c r="B39" s="6" t="s">
        <v>31</v>
      </c>
      <c r="C39" s="7">
        <v>0.3639186634889256</v>
      </c>
      <c r="D39" s="7">
        <v>0.14580696353877889</v>
      </c>
      <c r="E39" s="7">
        <v>8.5700160268213921E-2</v>
      </c>
      <c r="F39" s="7">
        <v>0.29221131776068621</v>
      </c>
      <c r="G39" s="7">
        <v>8.1599950730358181E-2</v>
      </c>
      <c r="H39" s="7">
        <v>3.0762944213037324E-2</v>
      </c>
    </row>
    <row r="40" spans="1:8" x14ac:dyDescent="0.35">
      <c r="A40" s="9" t="s">
        <v>32</v>
      </c>
      <c r="B40" s="10" t="s">
        <v>13</v>
      </c>
      <c r="C40" s="11">
        <v>0.35699999999999998</v>
      </c>
      <c r="D40" s="11">
        <v>0.14299999999999999</v>
      </c>
      <c r="E40" s="11">
        <v>8.5000000000000006E-2</v>
      </c>
      <c r="F40" s="11">
        <v>0.3</v>
      </c>
      <c r="G40" s="11">
        <v>8.5000000000000006E-2</v>
      </c>
      <c r="H40" s="11">
        <v>0.03</v>
      </c>
    </row>
    <row r="41" spans="1:8" x14ac:dyDescent="0.35">
      <c r="A41" s="12"/>
      <c r="B41" s="6" t="s">
        <v>33</v>
      </c>
      <c r="C41" s="7">
        <v>0.35737325712967821</v>
      </c>
      <c r="D41" s="7">
        <v>0.13353865461000283</v>
      </c>
      <c r="E41" s="7">
        <v>9.2935115189868037E-2</v>
      </c>
      <c r="F41" s="7">
        <v>0.32162144812586246</v>
      </c>
      <c r="G41" s="7">
        <v>8.0932630527092375E-2</v>
      </c>
      <c r="H41" s="7">
        <v>1.3598894417495904E-2</v>
      </c>
    </row>
    <row r="42" spans="1:8" x14ac:dyDescent="0.35">
      <c r="A42" s="12"/>
      <c r="B42" s="6" t="s">
        <v>25</v>
      </c>
      <c r="C42" s="7">
        <v>0.36129362561442985</v>
      </c>
      <c r="D42" s="7">
        <v>0.13317135119570156</v>
      </c>
      <c r="E42" s="7">
        <v>9.4053607104831488E-2</v>
      </c>
      <c r="F42" s="7">
        <v>0.31925817554898106</v>
      </c>
      <c r="G42" s="7">
        <v>8.0953286358769819E-2</v>
      </c>
      <c r="H42" s="7">
        <v>1.1269954177286073E-2</v>
      </c>
    </row>
    <row r="43" spans="1:8" x14ac:dyDescent="0.35">
      <c r="A43" s="12"/>
      <c r="B43" s="6" t="s">
        <v>26</v>
      </c>
      <c r="C43" s="7">
        <v>0.37038373720081635</v>
      </c>
      <c r="D43" s="7">
        <v>0.13837245633614234</v>
      </c>
      <c r="E43" s="7">
        <v>9.0886470229684102E-2</v>
      </c>
      <c r="F43" s="7">
        <v>0.31701274148505409</v>
      </c>
      <c r="G43" s="7">
        <v>7.1234208070854163E-2</v>
      </c>
      <c r="H43" s="7">
        <v>1.211038667744891E-2</v>
      </c>
    </row>
    <row r="44" spans="1:8" x14ac:dyDescent="0.35">
      <c r="A44" s="12"/>
      <c r="B44" s="6" t="s">
        <v>15</v>
      </c>
      <c r="C44" s="7">
        <v>0.37377867090396266</v>
      </c>
      <c r="D44" s="7">
        <v>0.14150009236094321</v>
      </c>
      <c r="E44" s="7">
        <v>9.0604981846730201E-2</v>
      </c>
      <c r="F44" s="7">
        <v>0.31514780136682397</v>
      </c>
      <c r="G44" s="7">
        <v>6.7158455098203923E-2</v>
      </c>
      <c r="H44" s="7">
        <v>1.08055662115143E-2</v>
      </c>
    </row>
    <row r="45" spans="1:8" x14ac:dyDescent="0.35">
      <c r="A45" s="12"/>
      <c r="B45" s="6" t="s">
        <v>34</v>
      </c>
      <c r="C45" s="7">
        <v>0.38003439482274387</v>
      </c>
      <c r="D45" s="7">
        <v>0.13895842158050775</v>
      </c>
      <c r="E45" s="7">
        <v>9.1424645663257795E-2</v>
      </c>
      <c r="F45" s="7">
        <v>0.31465170382025898</v>
      </c>
      <c r="G45" s="7">
        <v>6.3863644717036552E-2</v>
      </c>
      <c r="H45" s="7">
        <v>1.1067189396194948E-2</v>
      </c>
    </row>
    <row r="46" spans="1:8" x14ac:dyDescent="0.35">
      <c r="A46" s="12"/>
      <c r="B46" s="6" t="s">
        <v>27</v>
      </c>
      <c r="C46" s="7">
        <v>0.38800000000000001</v>
      </c>
      <c r="D46" s="7">
        <v>0.1361</v>
      </c>
      <c r="E46" s="7">
        <v>8.5900000000000004E-2</v>
      </c>
      <c r="F46" s="7">
        <v>0.31159999999999999</v>
      </c>
      <c r="G46" s="7">
        <v>7.0900000000000005E-2</v>
      </c>
      <c r="H46" s="7">
        <v>1.1599999999999999E-2</v>
      </c>
    </row>
    <row r="47" spans="1:8" x14ac:dyDescent="0.35">
      <c r="A47" s="13"/>
      <c r="B47" s="14" t="s">
        <v>18</v>
      </c>
      <c r="C47" s="7">
        <v>0.37080000000000002</v>
      </c>
      <c r="D47" s="7">
        <v>0.13650000000000001</v>
      </c>
      <c r="E47" s="7">
        <v>8.8499999999999995E-2</v>
      </c>
      <c r="F47" s="7">
        <v>0.31040000000000001</v>
      </c>
      <c r="G47" s="7">
        <v>7.7499999999999999E-2</v>
      </c>
      <c r="H47" s="7">
        <v>1.6199999999999999E-2</v>
      </c>
    </row>
    <row r="48" spans="1:8" x14ac:dyDescent="0.35">
      <c r="B48" s="6" t="s">
        <v>29</v>
      </c>
      <c r="C48" s="15">
        <v>0.374</v>
      </c>
      <c r="D48" s="15">
        <v>0.13519999999999999</v>
      </c>
      <c r="E48" s="7">
        <v>8.3799999999999999E-2</v>
      </c>
      <c r="F48" s="15">
        <v>0.31879999999999997</v>
      </c>
      <c r="G48" s="15">
        <v>7.6200000000000004E-2</v>
      </c>
      <c r="H48" s="7">
        <v>1.21E-2</v>
      </c>
    </row>
    <row r="49" spans="1:8" x14ac:dyDescent="0.35">
      <c r="A49" s="16"/>
      <c r="B49" s="14" t="s">
        <v>30</v>
      </c>
      <c r="C49" s="7">
        <v>0.37090000000000001</v>
      </c>
      <c r="D49" s="7">
        <v>0.1386</v>
      </c>
      <c r="E49" s="7">
        <v>8.3799999999999999E-2</v>
      </c>
      <c r="F49" s="7">
        <v>0.31780000000000003</v>
      </c>
      <c r="G49" s="7">
        <v>7.6999999999999999E-2</v>
      </c>
      <c r="H49" s="7">
        <v>1.1900000000000001E-2</v>
      </c>
    </row>
    <row r="50" spans="1:8" x14ac:dyDescent="0.35">
      <c r="B50" s="6" t="s">
        <v>35</v>
      </c>
      <c r="C50" s="7">
        <v>0.37171160291445277</v>
      </c>
      <c r="D50" s="7">
        <v>0.14560000000000001</v>
      </c>
      <c r="E50" s="7">
        <v>8.2899999999999988E-2</v>
      </c>
      <c r="F50" s="7">
        <v>0.31259999999999999</v>
      </c>
      <c r="G50" s="7">
        <v>7.9899999999999999E-2</v>
      </c>
      <c r="H50" s="7">
        <v>7.3000000000000001E-3</v>
      </c>
    </row>
    <row r="51" spans="1:8" x14ac:dyDescent="0.35">
      <c r="B51" s="6" t="s">
        <v>31</v>
      </c>
      <c r="C51" s="7">
        <v>0.3600817031024976</v>
      </c>
      <c r="D51" s="7">
        <v>0.14630000000000001</v>
      </c>
      <c r="E51" s="7">
        <v>8.2595935116136443E-2</v>
      </c>
      <c r="F51" s="7">
        <v>0.31709999999999999</v>
      </c>
      <c r="G51" s="7">
        <v>8.6638927630844881E-2</v>
      </c>
      <c r="H51" s="7">
        <v>7.3000000000000001E-3</v>
      </c>
    </row>
    <row r="52" spans="1:8" x14ac:dyDescent="0.35">
      <c r="A52" s="17" t="s">
        <v>36</v>
      </c>
      <c r="B52" s="18" t="s">
        <v>13</v>
      </c>
      <c r="C52" s="11">
        <v>0.36320000000000002</v>
      </c>
      <c r="D52" s="11">
        <v>0.14530000000000001</v>
      </c>
      <c r="E52" s="11">
        <v>8.1600000000000006E-2</v>
      </c>
      <c r="F52" s="11">
        <v>0.31709999999999999</v>
      </c>
      <c r="G52" s="11">
        <v>8.5800000000000001E-2</v>
      </c>
      <c r="H52" s="11">
        <v>7.0000000000000001E-3</v>
      </c>
    </row>
    <row r="53" spans="1:8" x14ac:dyDescent="0.35">
      <c r="B53" s="6" t="s">
        <v>33</v>
      </c>
      <c r="C53" s="7">
        <v>0.354602463293892</v>
      </c>
      <c r="D53" s="7">
        <v>0.14859999999999998</v>
      </c>
      <c r="E53" s="7">
        <v>8.1500000000000003E-2</v>
      </c>
      <c r="F53" s="7">
        <v>0.31730000000000003</v>
      </c>
      <c r="G53" s="7">
        <v>8.9800000000000005E-2</v>
      </c>
      <c r="H53" s="7">
        <v>8.3000000000000001E-3</v>
      </c>
    </row>
    <row r="54" spans="1:8" x14ac:dyDescent="0.35">
      <c r="B54" s="6" t="s">
        <v>25</v>
      </c>
      <c r="C54" s="7">
        <v>0.35032049848854729</v>
      </c>
      <c r="D54" s="7">
        <v>0.14990000000000001</v>
      </c>
      <c r="E54" s="7">
        <v>8.1099999999999992E-2</v>
      </c>
      <c r="F54" s="7">
        <v>0.31739999999999996</v>
      </c>
      <c r="G54" s="7">
        <v>9.2200000000000004E-2</v>
      </c>
      <c r="H54" s="7">
        <v>8.9999999999999993E-3</v>
      </c>
    </row>
    <row r="55" spans="1:8" x14ac:dyDescent="0.35">
      <c r="B55" s="6" t="s">
        <v>26</v>
      </c>
      <c r="C55" s="7">
        <v>0.35229999999999995</v>
      </c>
      <c r="D55" s="7">
        <v>0.1545</v>
      </c>
      <c r="E55" s="7">
        <v>7.8899999999999998E-2</v>
      </c>
      <c r="F55" s="7">
        <v>0.31620000000000004</v>
      </c>
      <c r="G55" s="7">
        <v>9.0500000000000011E-2</v>
      </c>
      <c r="H55" s="7">
        <v>7.6E-3</v>
      </c>
    </row>
    <row r="56" spans="1:8" x14ac:dyDescent="0.35">
      <c r="B56" s="6" t="s">
        <v>15</v>
      </c>
      <c r="C56" s="7">
        <v>0.35020000000000001</v>
      </c>
      <c r="D56" s="7">
        <v>0.15629999999999999</v>
      </c>
      <c r="E56" s="7">
        <v>7.8200000000000006E-2</v>
      </c>
      <c r="F56" s="7">
        <v>0.3165</v>
      </c>
      <c r="G56" s="7">
        <v>9.1300000000000006E-2</v>
      </c>
      <c r="H56" s="7">
        <v>7.4000000000000003E-3</v>
      </c>
    </row>
    <row r="57" spans="1:8" x14ac:dyDescent="0.35">
      <c r="B57" s="6" t="s">
        <v>34</v>
      </c>
      <c r="C57" s="7">
        <v>0.34339999999999998</v>
      </c>
      <c r="D57" s="7">
        <v>0.16320000000000001</v>
      </c>
      <c r="E57" s="7">
        <v>8.3500000000000005E-2</v>
      </c>
      <c r="F57" s="7">
        <v>0.31559999999999999</v>
      </c>
      <c r="G57" s="7">
        <v>8.6999999999999994E-2</v>
      </c>
      <c r="H57" s="7">
        <v>7.1999999999999998E-3</v>
      </c>
    </row>
    <row r="58" spans="1:8" x14ac:dyDescent="0.35">
      <c r="B58" s="6" t="s">
        <v>27</v>
      </c>
      <c r="C58" s="7">
        <v>0.35249999999999998</v>
      </c>
      <c r="D58" s="7">
        <v>0.1643</v>
      </c>
      <c r="E58" s="7">
        <v>8.6999999999999994E-2</v>
      </c>
      <c r="F58" s="7">
        <v>0.30690000000000001</v>
      </c>
      <c r="G58" s="7">
        <v>8.09E-2</v>
      </c>
      <c r="H58" s="7">
        <v>8.3999999999999995E-3</v>
      </c>
    </row>
    <row r="59" spans="1:8" x14ac:dyDescent="0.35">
      <c r="B59" s="6" t="s">
        <v>37</v>
      </c>
      <c r="C59" s="7">
        <v>0.34359310447505276</v>
      </c>
      <c r="D59" s="7">
        <v>0.17252558462763859</v>
      </c>
      <c r="E59" s="7">
        <v>8.4720460333373632E-2</v>
      </c>
      <c r="F59" s="7">
        <v>0.30760195028751641</v>
      </c>
      <c r="G59" s="7">
        <v>8.4563729158718251E-2</v>
      </c>
      <c r="H59" s="7">
        <v>6.9951711177003899E-3</v>
      </c>
    </row>
    <row r="60" spans="1:8" x14ac:dyDescent="0.35">
      <c r="B60" s="6" t="s">
        <v>29</v>
      </c>
      <c r="C60" s="7">
        <v>0.33689999999999998</v>
      </c>
      <c r="D60" s="7">
        <v>0.16020000000000001</v>
      </c>
      <c r="E60" s="7">
        <v>8.7099999999999997E-2</v>
      </c>
      <c r="F60" s="7">
        <v>0.31219999999999998</v>
      </c>
      <c r="G60" s="7">
        <v>9.1600000000000001E-2</v>
      </c>
      <c r="H60" s="7">
        <v>1.2200000000000001E-2</v>
      </c>
    </row>
    <row r="61" spans="1:8" x14ac:dyDescent="0.35">
      <c r="B61" s="6" t="s">
        <v>30</v>
      </c>
      <c r="C61" s="7">
        <v>0.33696407861067512</v>
      </c>
      <c r="D61" s="7">
        <v>0.16692427272824437</v>
      </c>
      <c r="E61" s="7">
        <v>8.6015541013747476E-2</v>
      </c>
      <c r="F61" s="7">
        <v>0.31085555358330824</v>
      </c>
      <c r="G61" s="7">
        <v>9.1111995559399167E-2</v>
      </c>
      <c r="H61" s="7">
        <v>8.1285585046257224E-3</v>
      </c>
    </row>
    <row r="62" spans="1:8" x14ac:dyDescent="0.35">
      <c r="B62" s="6" t="s">
        <v>35</v>
      </c>
      <c r="C62" s="7">
        <v>0.33339999999999997</v>
      </c>
      <c r="D62" s="7">
        <v>0.17100000000000001</v>
      </c>
      <c r="E62" s="7">
        <v>8.5199999999999998E-2</v>
      </c>
      <c r="F62" s="7">
        <v>0.30819999999999997</v>
      </c>
      <c r="G62" s="7">
        <v>9.5799999999999996E-2</v>
      </c>
      <c r="H62" s="7">
        <v>6.1000000000000004E-3</v>
      </c>
    </row>
    <row r="63" spans="1:8" x14ac:dyDescent="0.35">
      <c r="B63" s="6" t="s">
        <v>31</v>
      </c>
      <c r="C63" s="7">
        <v>0.32405052172338511</v>
      </c>
      <c r="D63" s="7">
        <v>0.17569926606970596</v>
      </c>
      <c r="E63" s="7">
        <v>8.301715051704367E-2</v>
      </c>
      <c r="F63" s="7">
        <v>0.3063798082067512</v>
      </c>
      <c r="G63" s="7">
        <v>0.10256948912319167</v>
      </c>
      <c r="H63" s="7">
        <v>8.2837643599222698E-3</v>
      </c>
    </row>
    <row r="64" spans="1:8" x14ac:dyDescent="0.35">
      <c r="A64" s="19" t="s">
        <v>38</v>
      </c>
      <c r="B64" s="18" t="s">
        <v>39</v>
      </c>
      <c r="C64" s="11">
        <v>0.32343858009693477</v>
      </c>
      <c r="D64" s="11">
        <v>0.17257067577925014</v>
      </c>
      <c r="E64" s="11">
        <v>8.4494044412722916E-2</v>
      </c>
      <c r="F64" s="11">
        <v>0.30749743014207526</v>
      </c>
      <c r="G64" s="11">
        <v>0.10478623361696658</v>
      </c>
      <c r="H64" s="11">
        <v>7.2130359520502039E-3</v>
      </c>
    </row>
    <row r="65" spans="1:11" x14ac:dyDescent="0.35">
      <c r="B65" s="6" t="s">
        <v>33</v>
      </c>
      <c r="C65" s="7">
        <v>0.33571312762859412</v>
      </c>
      <c r="D65" s="7">
        <v>0.16955039720766268</v>
      </c>
      <c r="E65" s="7">
        <v>8.5850503010243787E-2</v>
      </c>
      <c r="F65" s="7">
        <v>0.30280755485483679</v>
      </c>
      <c r="G65" s="7">
        <v>9.8953102002915086E-2</v>
      </c>
      <c r="H65" s="7">
        <v>7.1253152957474622E-3</v>
      </c>
    </row>
    <row r="66" spans="1:11" x14ac:dyDescent="0.35">
      <c r="B66" s="6" t="s">
        <v>25</v>
      </c>
      <c r="C66" s="7">
        <v>0.3410636157113775</v>
      </c>
      <c r="D66" s="7">
        <v>0.16724348324552527</v>
      </c>
      <c r="E66" s="7">
        <v>8.4651088724026116E-2</v>
      </c>
      <c r="F66" s="7">
        <v>0.29956728602994348</v>
      </c>
      <c r="G66" s="7">
        <v>9.996959533827153E-2</v>
      </c>
      <c r="H66" s="7">
        <v>7.6809383494661453E-3</v>
      </c>
      <c r="J66" s="30"/>
    </row>
    <row r="67" spans="1:11" x14ac:dyDescent="0.35">
      <c r="B67" s="6" t="s">
        <v>26</v>
      </c>
      <c r="C67" s="7">
        <v>0.35325632341614727</v>
      </c>
      <c r="D67" s="7">
        <v>0.16637058096476864</v>
      </c>
      <c r="E67" s="7">
        <v>8.3998234087781273E-2</v>
      </c>
      <c r="F67" s="7">
        <v>0.29880967967069622</v>
      </c>
      <c r="G67" s="7">
        <v>9.1100099318118674E-2</v>
      </c>
      <c r="H67" s="7">
        <v>6.4650825424878364E-3</v>
      </c>
    </row>
    <row r="68" spans="1:11" x14ac:dyDescent="0.35">
      <c r="B68" s="6" t="s">
        <v>15</v>
      </c>
      <c r="C68" s="7">
        <v>0.34554916075144804</v>
      </c>
      <c r="D68" s="7">
        <v>0.17078012250153371</v>
      </c>
      <c r="E68" s="7">
        <v>8.2560289338934195E-2</v>
      </c>
      <c r="F68" s="7">
        <v>0.29689563289396359</v>
      </c>
      <c r="G68" s="7">
        <v>9.610936660830352E-2</v>
      </c>
      <c r="H68" s="7">
        <v>8.1054279058168366E-3</v>
      </c>
    </row>
    <row r="69" spans="1:11" x14ac:dyDescent="0.35">
      <c r="B69" s="6" t="s">
        <v>34</v>
      </c>
      <c r="C69" s="7">
        <v>0.35299999999999998</v>
      </c>
      <c r="D69" s="7">
        <v>0.17078012250153371</v>
      </c>
      <c r="E69" s="7">
        <v>8.1000000000000003E-2</v>
      </c>
      <c r="F69" s="7">
        <v>0.29299999999999998</v>
      </c>
      <c r="G69" s="7">
        <v>9.5000000000000001E-2</v>
      </c>
      <c r="H69" s="7">
        <v>7.0000000000000001E-3</v>
      </c>
      <c r="I69" s="30"/>
    </row>
    <row r="70" spans="1:11" x14ac:dyDescent="0.35">
      <c r="B70" s="32" t="s">
        <v>27</v>
      </c>
      <c r="C70" s="7">
        <v>0.365077643467552</v>
      </c>
      <c r="D70" s="7">
        <v>0.16800729573130499</v>
      </c>
      <c r="E70" s="7">
        <v>8.0491384414633493E-2</v>
      </c>
      <c r="F70" s="7">
        <v>0.28958755268337599</v>
      </c>
      <c r="G70" s="7">
        <v>8.9337581283266507E-2</v>
      </c>
      <c r="H70" s="7">
        <v>7.4985424198670296E-3</v>
      </c>
    </row>
    <row r="71" spans="1:11" x14ac:dyDescent="0.35">
      <c r="B71" s="32" t="s">
        <v>37</v>
      </c>
      <c r="C71" s="7">
        <v>0.36634481381177975</v>
      </c>
      <c r="D71" s="7">
        <v>0.17198669111023415</v>
      </c>
      <c r="E71" s="7">
        <v>7.893359591522299E-2</v>
      </c>
      <c r="F71" s="7">
        <v>0.2847846004877625</v>
      </c>
      <c r="G71" s="7">
        <v>9.0358341424167626E-2</v>
      </c>
      <c r="H71" s="7">
        <v>7.5919572508328596E-3</v>
      </c>
    </row>
    <row r="72" spans="1:11" x14ac:dyDescent="0.35">
      <c r="B72" s="32" t="s">
        <v>29</v>
      </c>
      <c r="C72" s="7">
        <v>0.38178820787227191</v>
      </c>
      <c r="D72" s="7">
        <v>0.15902129007624202</v>
      </c>
      <c r="E72" s="7">
        <v>7.0843557948851985E-2</v>
      </c>
      <c r="F72" s="7">
        <v>0.28582272498090355</v>
      </c>
      <c r="G72" s="7">
        <v>9.6087057357364433E-2</v>
      </c>
      <c r="H72" s="7">
        <v>6.4371617643659623E-3</v>
      </c>
    </row>
    <row r="73" spans="1:11" x14ac:dyDescent="0.35">
      <c r="B73" s="32" t="s">
        <v>30</v>
      </c>
      <c r="C73" s="7">
        <v>0.37078924872748092</v>
      </c>
      <c r="D73" s="7">
        <v>0.17030323804179065</v>
      </c>
      <c r="E73" s="7">
        <v>6.9734735065070858E-2</v>
      </c>
      <c r="F73" s="7">
        <v>0.28501894727956406</v>
      </c>
      <c r="G73" s="7">
        <v>9.6480581396653262E-2</v>
      </c>
      <c r="H73" s="7">
        <v>7.6732494894403381E-3</v>
      </c>
    </row>
    <row r="74" spans="1:11" x14ac:dyDescent="0.35">
      <c r="B74" s="32" t="s">
        <v>35</v>
      </c>
      <c r="C74" s="7">
        <v>0.36318842383326827</v>
      </c>
      <c r="D74" s="7">
        <v>0.1773905284131464</v>
      </c>
      <c r="E74" s="7">
        <v>6.9880125164455201E-2</v>
      </c>
      <c r="F74" s="7">
        <v>0.28213936522280481</v>
      </c>
      <c r="G74" s="7">
        <v>0.10105320841495016</v>
      </c>
      <c r="H74" s="7">
        <v>6.3483489513751837E-3</v>
      </c>
    </row>
    <row r="75" spans="1:11" x14ac:dyDescent="0.35">
      <c r="B75" s="32" t="s">
        <v>31</v>
      </c>
      <c r="C75" s="7">
        <v>0.36043105984899382</v>
      </c>
      <c r="D75" s="7">
        <v>0.17799589657812118</v>
      </c>
      <c r="E75" s="7">
        <v>7.1646046806954619E-2</v>
      </c>
      <c r="F75" s="7">
        <v>0.28258870093071486</v>
      </c>
      <c r="G75" s="7">
        <v>0.10272805070093441</v>
      </c>
      <c r="H75" s="7">
        <v>4.6102451342812083E-3</v>
      </c>
    </row>
    <row r="76" spans="1:11" x14ac:dyDescent="0.35">
      <c r="A76" s="19" t="s">
        <v>70</v>
      </c>
      <c r="B76" s="18" t="s">
        <v>39</v>
      </c>
      <c r="C76" s="11">
        <v>0.35947243274831225</v>
      </c>
      <c r="D76" s="11">
        <v>0.1753480808279706</v>
      </c>
      <c r="E76" s="11">
        <v>7.4102364958768735E-2</v>
      </c>
      <c r="F76" s="11">
        <v>0.28103549628172569</v>
      </c>
      <c r="G76" s="11">
        <v>0.10474005864747511</v>
      </c>
      <c r="H76" s="11">
        <v>5.3015665357475086E-3</v>
      </c>
    </row>
    <row r="77" spans="1:11" x14ac:dyDescent="0.35">
      <c r="B77" s="6" t="s">
        <v>33</v>
      </c>
      <c r="C77" s="7">
        <v>0.37109999999999999</v>
      </c>
      <c r="D77" s="7">
        <v>0.16980000000000001</v>
      </c>
      <c r="E77" s="7">
        <v>7.5800000000000006E-2</v>
      </c>
      <c r="F77" s="7">
        <v>0.27360000000000001</v>
      </c>
      <c r="G77" s="7">
        <v>0.1045</v>
      </c>
      <c r="H77" s="7">
        <v>5.1999999999999998E-3</v>
      </c>
    </row>
    <row r="78" spans="1:11" x14ac:dyDescent="0.35">
      <c r="B78" s="6" t="s">
        <v>25</v>
      </c>
      <c r="C78" s="7">
        <v>0.38329999999999997</v>
      </c>
      <c r="D78" s="7">
        <v>0.1716</v>
      </c>
      <c r="E78" s="7">
        <v>7.1499999999999994E-2</v>
      </c>
      <c r="F78" s="7">
        <v>0.27189999999999998</v>
      </c>
      <c r="G78" s="7">
        <v>9.74E-2</v>
      </c>
      <c r="H78" s="7">
        <v>4.3000000000000009E-3</v>
      </c>
    </row>
    <row r="79" spans="1:11" x14ac:dyDescent="0.35">
      <c r="B79" s="6" t="s">
        <v>26</v>
      </c>
      <c r="C79" s="7">
        <v>0.39389999999999997</v>
      </c>
      <c r="D79" s="7">
        <v>0.16819153141921137</v>
      </c>
      <c r="E79" s="7">
        <v>6.948150083231798E-2</v>
      </c>
      <c r="F79" s="7">
        <v>0.27217476723469292</v>
      </c>
      <c r="G79" s="7">
        <v>9.0891922432780187E-2</v>
      </c>
      <c r="H79" s="7">
        <v>5.340394370663473E-3</v>
      </c>
      <c r="J79" s="43"/>
      <c r="K79" s="45"/>
    </row>
    <row r="80" spans="1:11" x14ac:dyDescent="0.35">
      <c r="B80" s="6" t="s">
        <v>15</v>
      </c>
      <c r="C80" s="7">
        <v>0.40130000000000005</v>
      </c>
      <c r="D80" s="7">
        <v>0.168819153141921</v>
      </c>
      <c r="E80" s="7">
        <v>6.5699999999999995E-2</v>
      </c>
      <c r="F80" s="7">
        <v>0.268421747672346</v>
      </c>
      <c r="G80" s="7">
        <v>9.0999999999999998E-2</v>
      </c>
      <c r="H80" s="7">
        <v>4.84039437066347E-3</v>
      </c>
      <c r="J80" s="43"/>
      <c r="K80" s="45"/>
    </row>
    <row r="81" spans="1:11" x14ac:dyDescent="0.35">
      <c r="B81" s="6" t="s">
        <v>34</v>
      </c>
      <c r="C81" s="7">
        <v>0.40475784644053114</v>
      </c>
      <c r="D81" s="7">
        <v>0.17142569639883962</v>
      </c>
      <c r="E81" s="7">
        <v>6.4171870135087739E-2</v>
      </c>
      <c r="F81" s="7">
        <v>0.26700625892611618</v>
      </c>
      <c r="G81" s="7">
        <v>8.913292085206681E-2</v>
      </c>
      <c r="H81" s="7">
        <v>3.505407247358607E-3</v>
      </c>
      <c r="J81" s="43"/>
      <c r="K81" s="45"/>
    </row>
    <row r="82" spans="1:11" x14ac:dyDescent="0.35">
      <c r="B82" s="6" t="s">
        <v>17</v>
      </c>
      <c r="C82" s="7">
        <v>0.4015524146509632</v>
      </c>
      <c r="D82" s="7">
        <v>0.17272690792137818</v>
      </c>
      <c r="E82" s="7">
        <v>6.2809373279289579E-2</v>
      </c>
      <c r="F82" s="7">
        <v>0.26554823952062484</v>
      </c>
      <c r="G82" s="7">
        <v>9.3068393069116739E-2</v>
      </c>
      <c r="H82" s="7">
        <v>4.294671558627527E-3</v>
      </c>
      <c r="J82" s="43"/>
      <c r="K82" s="45"/>
    </row>
    <row r="83" spans="1:11" x14ac:dyDescent="0.35">
      <c r="A83" s="41"/>
      <c r="B83" s="6" t="s">
        <v>37</v>
      </c>
      <c r="C83" s="7">
        <v>0.40033530760952285</v>
      </c>
      <c r="D83" s="7">
        <v>0.17469260300930908</v>
      </c>
      <c r="E83" s="7">
        <v>6.4437634287630136E-2</v>
      </c>
      <c r="F83" s="7">
        <v>0.26325177497118762</v>
      </c>
      <c r="G83" s="7">
        <v>9.2864549755960604E-2</v>
      </c>
      <c r="H83" s="7">
        <v>4.4181303663896627E-3</v>
      </c>
      <c r="J83" s="43"/>
      <c r="K83" s="45"/>
    </row>
    <row r="84" spans="1:11" ht="15" thickBot="1" x14ac:dyDescent="0.4">
      <c r="B84" s="14" t="s">
        <v>29</v>
      </c>
      <c r="C84" s="7">
        <v>0.41049999999999998</v>
      </c>
      <c r="D84" s="7">
        <v>0.16339999999999999</v>
      </c>
      <c r="E84" s="7">
        <v>6.1800000000000001E-2</v>
      </c>
      <c r="F84" s="7">
        <v>0.26640000000000003</v>
      </c>
      <c r="G84" s="7">
        <v>9.3399999999999997E-2</v>
      </c>
      <c r="H84" s="7">
        <v>1.1999999999999999E-3</v>
      </c>
      <c r="J84" s="44"/>
      <c r="K84" s="45"/>
    </row>
    <row r="85" spans="1:11" x14ac:dyDescent="0.35">
      <c r="A85" s="41"/>
      <c r="B85" s="6" t="s">
        <v>30</v>
      </c>
      <c r="C85" s="7">
        <v>0.41698337359773424</v>
      </c>
      <c r="D85" s="7">
        <v>0.16150083092535311</v>
      </c>
      <c r="E85" s="7">
        <v>6.1626511955750939E-2</v>
      </c>
      <c r="F85" s="7">
        <v>0.26494517849943888</v>
      </c>
      <c r="G85" s="7">
        <v>9.0192324876239335E-2</v>
      </c>
      <c r="H85" s="7">
        <v>4.7517801454834002E-3</v>
      </c>
    </row>
    <row r="86" spans="1:11" x14ac:dyDescent="0.35">
      <c r="A86" s="41"/>
      <c r="B86" s="6" t="s">
        <v>35</v>
      </c>
      <c r="C86" s="7">
        <v>0.4137858246866028</v>
      </c>
      <c r="D86" s="7">
        <v>0.15842320916228894</v>
      </c>
      <c r="E86" s="7">
        <v>5.7819346002152536E-2</v>
      </c>
      <c r="F86" s="7">
        <v>0.26810230712501182</v>
      </c>
      <c r="G86" s="7">
        <v>9.6678351659526041E-2</v>
      </c>
      <c r="H86" s="7">
        <v>5.1909613644178778E-3</v>
      </c>
    </row>
    <row r="87" spans="1:11" x14ac:dyDescent="0.35">
      <c r="B87" s="6" t="s">
        <v>31</v>
      </c>
      <c r="C87" s="7">
        <v>0.41409999999999997</v>
      </c>
      <c r="D87" s="7">
        <v>0.1502</v>
      </c>
      <c r="E87" s="7">
        <v>6.6600000000000006E-2</v>
      </c>
      <c r="F87" s="7">
        <v>0.26619999999999999</v>
      </c>
      <c r="G87" s="7">
        <v>9.8900000000000002E-2</v>
      </c>
      <c r="H87" s="7">
        <v>4.0000000000000001E-3</v>
      </c>
    </row>
    <row r="88" spans="1:11" x14ac:dyDescent="0.35">
      <c r="A88" s="42" t="s">
        <v>71</v>
      </c>
      <c r="B88" s="18" t="s">
        <v>39</v>
      </c>
      <c r="C88" s="11">
        <v>0.41099999999999998</v>
      </c>
      <c r="D88" s="11">
        <v>0.1522</v>
      </c>
      <c r="E88" s="11">
        <v>6.7299999999999999E-2</v>
      </c>
      <c r="F88" s="11">
        <v>0.26369999999999999</v>
      </c>
      <c r="G88" s="11">
        <v>9.7000000000000003E-2</v>
      </c>
      <c r="H88" s="11">
        <v>5.0000000000000001E-3</v>
      </c>
    </row>
    <row r="89" spans="1:11" x14ac:dyDescent="0.35">
      <c r="B89" s="6" t="s">
        <v>33</v>
      </c>
      <c r="C89" s="7">
        <v>0.41100000000000003</v>
      </c>
      <c r="D89" s="7">
        <v>0.15740000000000001</v>
      </c>
      <c r="E89" s="7">
        <v>6.6799999999999998E-2</v>
      </c>
      <c r="F89" s="7">
        <v>0.25900000000000001</v>
      </c>
      <c r="G89" s="7">
        <v>0.1002</v>
      </c>
      <c r="H89" s="7">
        <v>5.5999999999999999E-3</v>
      </c>
      <c r="I89" s="30"/>
    </row>
    <row r="90" spans="1:11" x14ac:dyDescent="0.35">
      <c r="B90" s="6" t="s">
        <v>25</v>
      </c>
      <c r="C90" s="7">
        <v>0.42759999999999998</v>
      </c>
      <c r="D90" s="7">
        <v>0.14360000000000001</v>
      </c>
      <c r="E90" s="7">
        <v>6.5099999999999991E-2</v>
      </c>
      <c r="F90" s="7">
        <v>0.25600000000000001</v>
      </c>
      <c r="G90" s="7">
        <v>0.10289999999999999</v>
      </c>
      <c r="H90" s="7">
        <v>4.7999999999999996E-3</v>
      </c>
    </row>
    <row r="91" spans="1:11" x14ac:dyDescent="0.35">
      <c r="B91" s="6" t="s">
        <v>26</v>
      </c>
      <c r="C91" s="7">
        <v>0.42700000000000005</v>
      </c>
      <c r="D91" s="7">
        <v>0.153</v>
      </c>
      <c r="E91" s="7">
        <v>6.4000000000000001E-2</v>
      </c>
      <c r="F91" s="7">
        <v>0.25600000000000001</v>
      </c>
      <c r="G91" s="7">
        <v>9.5000000000000001E-2</v>
      </c>
      <c r="H91" s="7">
        <v>5.0000000000000001E-3</v>
      </c>
    </row>
    <row r="92" spans="1:11" x14ac:dyDescent="0.35">
      <c r="B92" s="6" t="s">
        <v>15</v>
      </c>
      <c r="C92" s="7">
        <v>0.41420000000000001</v>
      </c>
      <c r="D92" s="7">
        <v>0.15770000000000001</v>
      </c>
      <c r="E92" s="7">
        <v>6.2699999999999992E-2</v>
      </c>
      <c r="F92" s="7">
        <v>0.26100000000000001</v>
      </c>
      <c r="G92" s="7">
        <v>9.9600000000000008E-2</v>
      </c>
      <c r="H92" s="7">
        <v>4.7000000000000002E-3</v>
      </c>
    </row>
    <row r="93" spans="1:11" x14ac:dyDescent="0.35">
      <c r="B93" s="6" t="s">
        <v>34</v>
      </c>
      <c r="C93" s="7">
        <v>0.40179999999999999</v>
      </c>
      <c r="D93" s="7">
        <v>0.15770000000000001</v>
      </c>
      <c r="E93" s="7">
        <v>6.3500000000000001E-2</v>
      </c>
      <c r="F93" s="7">
        <v>0.26170000000000004</v>
      </c>
      <c r="G93" s="7">
        <v>0.1108</v>
      </c>
      <c r="H93" s="7">
        <v>4.4999999999999997E-3</v>
      </c>
    </row>
    <row r="94" spans="1:11" x14ac:dyDescent="0.35">
      <c r="B94" s="6" t="s">
        <v>27</v>
      </c>
      <c r="C94" s="7">
        <v>0.4007</v>
      </c>
      <c r="D94" s="7">
        <v>0.1615</v>
      </c>
      <c r="E94" s="7">
        <v>6.5299999999999997E-2</v>
      </c>
      <c r="F94" s="7">
        <v>0.25829999999999997</v>
      </c>
      <c r="G94" s="7">
        <v>0.10979999999999999</v>
      </c>
      <c r="H94" s="7">
        <v>4.5999999999999999E-3</v>
      </c>
    </row>
    <row r="95" spans="1:11" x14ac:dyDescent="0.35">
      <c r="B95" s="6" t="s">
        <v>37</v>
      </c>
      <c r="C95" s="7">
        <v>0.39700000000000002</v>
      </c>
      <c r="D95" s="7">
        <v>0.159</v>
      </c>
      <c r="E95" s="7">
        <v>6.5000000000000002E-2</v>
      </c>
      <c r="F95" s="7">
        <v>0.25800000000000001</v>
      </c>
      <c r="G95" s="7">
        <v>0.11600000000000001</v>
      </c>
      <c r="H95" s="7">
        <v>5.0000000000000001E-3</v>
      </c>
    </row>
    <row r="96" spans="1:11" x14ac:dyDescent="0.35">
      <c r="B96" s="6" t="s">
        <v>29</v>
      </c>
      <c r="C96" s="7">
        <v>0.39399999999999996</v>
      </c>
      <c r="D96" s="7">
        <v>0.159</v>
      </c>
      <c r="E96" s="7">
        <v>6.5000000000000002E-2</v>
      </c>
      <c r="F96" s="7">
        <v>0.26</v>
      </c>
      <c r="G96" s="7">
        <v>0.11800000000000001</v>
      </c>
      <c r="H96" s="7">
        <v>4.0000000000000001E-3</v>
      </c>
    </row>
    <row r="97" spans="1:8" x14ac:dyDescent="0.35">
      <c r="B97" s="6" t="s">
        <v>30</v>
      </c>
      <c r="C97" s="7">
        <v>0.38100000000000001</v>
      </c>
      <c r="D97" s="7">
        <v>0.159</v>
      </c>
      <c r="E97" s="7">
        <v>6.6000000000000003E-2</v>
      </c>
      <c r="F97" s="7">
        <v>0.25900000000000001</v>
      </c>
      <c r="G97" s="7">
        <v>0.13100000000000001</v>
      </c>
      <c r="H97" s="7">
        <v>4.0000000000000001E-3</v>
      </c>
    </row>
    <row r="98" spans="1:8" x14ac:dyDescent="0.35">
      <c r="B98" s="6" t="s">
        <v>35</v>
      </c>
      <c r="C98" s="7">
        <v>0.38299999999999995</v>
      </c>
      <c r="D98" s="7">
        <v>0.16</v>
      </c>
      <c r="E98" s="7">
        <v>6.3E-2</v>
      </c>
      <c r="F98" s="7">
        <v>0.25600000000000001</v>
      </c>
      <c r="G98" s="7">
        <v>0.13400000000000001</v>
      </c>
      <c r="H98" s="7">
        <v>4.0000000000000001E-3</v>
      </c>
    </row>
    <row r="99" spans="1:8" x14ac:dyDescent="0.35">
      <c r="B99" s="46" t="s">
        <v>31</v>
      </c>
      <c r="C99" s="7">
        <v>0.377</v>
      </c>
      <c r="D99" s="7">
        <v>0.161</v>
      </c>
      <c r="E99" s="7">
        <v>6.4000000000000001E-2</v>
      </c>
      <c r="F99" s="7">
        <v>0.25800000000000001</v>
      </c>
      <c r="G99" s="7">
        <v>0.13600000000000001</v>
      </c>
      <c r="H99" s="7">
        <v>4.0000000000000001E-3</v>
      </c>
    </row>
    <row r="100" spans="1:8" x14ac:dyDescent="0.35">
      <c r="A100" s="42" t="s">
        <v>72</v>
      </c>
      <c r="B100" s="18" t="s">
        <v>39</v>
      </c>
      <c r="C100" s="11">
        <v>0.38400000000000001</v>
      </c>
      <c r="D100" s="11">
        <v>0.16300000000000001</v>
      </c>
      <c r="E100" s="11">
        <v>6.5000000000000002E-2</v>
      </c>
      <c r="F100" s="11">
        <v>0.25700000000000001</v>
      </c>
      <c r="G100" s="11">
        <v>0.127</v>
      </c>
      <c r="H100" s="11">
        <v>4.0000000000000001E-3</v>
      </c>
    </row>
    <row r="101" spans="1:8" x14ac:dyDescent="0.35">
      <c r="B101" s="6" t="s">
        <v>33</v>
      </c>
      <c r="C101" s="7">
        <v>0.38863296727958246</v>
      </c>
      <c r="D101" s="7">
        <v>0.16450052955925618</v>
      </c>
      <c r="E101" s="7">
        <v>6.4202718785961316E-2</v>
      </c>
      <c r="F101" s="7">
        <v>0.25444627478408433</v>
      </c>
      <c r="G101" s="7">
        <v>0.12388378845835761</v>
      </c>
      <c r="H101" s="7">
        <v>4.3337211327580307E-3</v>
      </c>
    </row>
    <row r="102" spans="1:8" x14ac:dyDescent="0.35">
      <c r="B102" s="6" t="s">
        <v>25</v>
      </c>
      <c r="C102" s="7">
        <v>0.38852669180968125</v>
      </c>
      <c r="D102" s="7">
        <v>0.16922449981816459</v>
      </c>
      <c r="E102" s="7">
        <v>6.3200489684658079E-2</v>
      </c>
      <c r="F102" s="7">
        <v>0.2531169703596286</v>
      </c>
      <c r="G102" s="7">
        <v>0.12171138220690293</v>
      </c>
      <c r="H102" s="7">
        <v>4.2199661209646215E-3</v>
      </c>
    </row>
    <row r="103" spans="1:8" x14ac:dyDescent="0.35">
      <c r="B103" s="6" t="s">
        <v>26</v>
      </c>
      <c r="C103" s="7">
        <v>0.39224113934115168</v>
      </c>
      <c r="D103" s="7">
        <v>0.16313495370310338</v>
      </c>
      <c r="E103" s="7">
        <v>6.40623560791998E-2</v>
      </c>
      <c r="F103" s="7">
        <v>0.25256681435313366</v>
      </c>
      <c r="G103" s="7">
        <v>0.12385202499930334</v>
      </c>
      <c r="H103" s="7">
        <v>4.1427115241081417E-3</v>
      </c>
    </row>
    <row r="104" spans="1:8" x14ac:dyDescent="0.35">
      <c r="B104" s="6" t="s">
        <v>15</v>
      </c>
      <c r="C104" s="7">
        <v>0.38691464603776399</v>
      </c>
      <c r="D104" s="7">
        <v>0.17071033085360524</v>
      </c>
      <c r="E104" s="7">
        <v>6.465215020084869E-2</v>
      </c>
      <c r="F104" s="7">
        <v>0.25170256872902835</v>
      </c>
      <c r="G104" s="7">
        <v>0.12168347424992902</v>
      </c>
      <c r="H104" s="7">
        <v>4.3368299288246434E-3</v>
      </c>
    </row>
    <row r="105" spans="1:8" x14ac:dyDescent="0.35">
      <c r="B105" s="6" t="s">
        <v>34</v>
      </c>
      <c r="C105" s="7">
        <v>0.38487601517028064</v>
      </c>
      <c r="D105" s="7">
        <v>0.17251402693296897</v>
      </c>
      <c r="E105" s="7">
        <v>6.6022426942059897E-2</v>
      </c>
      <c r="F105" s="7">
        <v>0.24999794843792997</v>
      </c>
      <c r="G105" s="7">
        <v>0.12229831585245279</v>
      </c>
      <c r="H105" s="7">
        <v>4.291266664307695E-3</v>
      </c>
    </row>
    <row r="106" spans="1:8" x14ac:dyDescent="0.35">
      <c r="B106" s="6" t="s">
        <v>27</v>
      </c>
      <c r="C106" s="7">
        <v>0.37898577446448334</v>
      </c>
      <c r="D106" s="7">
        <v>0.17561594734824224</v>
      </c>
      <c r="E106" s="7">
        <v>6.6920989910454073E-2</v>
      </c>
      <c r="F106" s="7">
        <v>0.24983709883477828</v>
      </c>
      <c r="G106" s="7">
        <v>0.12213975305945281</v>
      </c>
      <c r="H106" s="7">
        <v>6.5004363825893214E-3</v>
      </c>
    </row>
    <row r="107" spans="1:8" x14ac:dyDescent="0.35">
      <c r="B107" s="6" t="s">
        <v>37</v>
      </c>
      <c r="C107" s="7">
        <v>0.37338326564350133</v>
      </c>
      <c r="D107" s="7">
        <v>0.16846335447340613</v>
      </c>
      <c r="E107" s="7">
        <v>6.7077026482723567E-2</v>
      </c>
      <c r="F107" s="7">
        <v>0.25194553982506745</v>
      </c>
      <c r="G107" s="7">
        <v>0.13209500534135593</v>
      </c>
      <c r="H107" s="7">
        <v>7.0358082339455601E-3</v>
      </c>
    </row>
    <row r="108" spans="1:8" x14ac:dyDescent="0.35">
      <c r="B108" s="6" t="s">
        <v>29</v>
      </c>
      <c r="C108" s="7">
        <v>0.36904536133195648</v>
      </c>
      <c r="D108" s="7">
        <v>0.17392723940779112</v>
      </c>
      <c r="E108" s="7">
        <v>6.6529202823282424E-2</v>
      </c>
      <c r="F108" s="7">
        <v>0.25048722335886392</v>
      </c>
      <c r="G108" s="7">
        <v>0.13453114326447665</v>
      </c>
      <c r="H108" s="7">
        <v>5.479829813629487E-3</v>
      </c>
    </row>
    <row r="109" spans="1:8" x14ac:dyDescent="0.35">
      <c r="B109" s="6" t="s">
        <v>30</v>
      </c>
      <c r="C109" s="7">
        <v>0.36929415699069928</v>
      </c>
      <c r="D109" s="7">
        <v>0.1700081193424508</v>
      </c>
      <c r="E109" s="7">
        <v>6.5461307526196222E-2</v>
      </c>
      <c r="F109" s="7">
        <v>0.25059868951315756</v>
      </c>
      <c r="G109" s="7">
        <v>0.13975581061328399</v>
      </c>
      <c r="H109" s="7">
        <v>4.8819160142120639E-3</v>
      </c>
    </row>
    <row r="110" spans="1:8" x14ac:dyDescent="0.35">
      <c r="B110" s="6" t="s">
        <v>35</v>
      </c>
      <c r="C110" s="7">
        <v>0.36426083725673319</v>
      </c>
      <c r="D110" s="7">
        <v>0.17265444806762181</v>
      </c>
      <c r="E110" s="7">
        <v>6.3718461949181446E-2</v>
      </c>
      <c r="F110" s="7">
        <v>0.24909891814776697</v>
      </c>
      <c r="G110" s="7">
        <v>0.14455822329684404</v>
      </c>
      <c r="H110" s="7">
        <v>5.7091112818524895E-3</v>
      </c>
    </row>
    <row r="111" spans="1:8" x14ac:dyDescent="0.35">
      <c r="B111" s="6" t="s">
        <v>31</v>
      </c>
      <c r="C111" s="7">
        <v>0.37145719619085771</v>
      </c>
      <c r="D111" s="7">
        <v>0.16674050202279855</v>
      </c>
      <c r="E111" s="7">
        <v>6.0823655901291483E-2</v>
      </c>
      <c r="F111" s="7">
        <v>0.24868625999446711</v>
      </c>
      <c r="G111" s="7">
        <v>0.1469393670289961</v>
      </c>
      <c r="H111" s="7">
        <v>5.3530188615890876E-3</v>
      </c>
    </row>
    <row r="112" spans="1:8" x14ac:dyDescent="0.35">
      <c r="A112" s="42" t="s">
        <v>76</v>
      </c>
      <c r="B112" s="18" t="s">
        <v>39</v>
      </c>
      <c r="C112" s="11">
        <v>0.37335247716802117</v>
      </c>
      <c r="D112" s="11">
        <v>0.16825672538608402</v>
      </c>
      <c r="E112" s="11">
        <v>6.0815189329798611E-2</v>
      </c>
      <c r="F112" s="11">
        <v>0.2465323392952557</v>
      </c>
      <c r="G112" s="11">
        <v>0.14539396916653391</v>
      </c>
      <c r="H112" s="11">
        <v>5.6492996543066904E-3</v>
      </c>
    </row>
    <row r="113" spans="1:8" x14ac:dyDescent="0.35">
      <c r="B113" s="6" t="s">
        <v>33</v>
      </c>
      <c r="C113" s="7">
        <v>0.36923604234760909</v>
      </c>
      <c r="D113" s="7">
        <v>0.16910468220798233</v>
      </c>
      <c r="E113" s="7">
        <v>6.3102843470130954E-2</v>
      </c>
      <c r="F113" s="7">
        <v>0.24543098712859077</v>
      </c>
      <c r="G113" s="7">
        <v>0.14690924240537537</v>
      </c>
      <c r="H113" s="7">
        <v>6.216202440311693E-3</v>
      </c>
    </row>
    <row r="114" spans="1:8" x14ac:dyDescent="0.35">
      <c r="B114" s="6" t="s">
        <v>25</v>
      </c>
      <c r="C114" s="7">
        <v>0.33954335450898671</v>
      </c>
      <c r="D114" s="7">
        <v>0.18954788594421759</v>
      </c>
      <c r="E114" s="7">
        <v>5.8956888791763848E-2</v>
      </c>
      <c r="F114" s="7">
        <v>0.2491124810304132</v>
      </c>
      <c r="G114" s="7">
        <v>0.15612135925895207</v>
      </c>
      <c r="H114" s="7">
        <v>6.7180304656667012E-3</v>
      </c>
    </row>
    <row r="115" spans="1:8" x14ac:dyDescent="0.35">
      <c r="B115" s="6" t="s">
        <v>26</v>
      </c>
      <c r="C115" s="7">
        <v>0.32657958831632505</v>
      </c>
      <c r="D115" s="7">
        <v>0.20120124158015631</v>
      </c>
      <c r="E115" s="7">
        <v>6.1746233494753493E-2</v>
      </c>
      <c r="F115" s="7">
        <v>0.24604722484677316</v>
      </c>
      <c r="G115" s="7">
        <v>0.15717353727876246</v>
      </c>
      <c r="H115" s="7">
        <v>7.2521744832296786E-3</v>
      </c>
    </row>
    <row r="116" spans="1:8" x14ac:dyDescent="0.35">
      <c r="B116" s="6" t="s">
        <v>15</v>
      </c>
      <c r="C116" s="7">
        <v>0.31529422188160477</v>
      </c>
      <c r="D116" s="7">
        <v>0.20567351970722558</v>
      </c>
      <c r="E116" s="7">
        <v>6.566244955582419E-2</v>
      </c>
      <c r="F116" s="7">
        <v>0.23702828234552911</v>
      </c>
      <c r="G116" s="7">
        <v>0.1688151864905604</v>
      </c>
      <c r="H116" s="7">
        <v>7.526340019255894E-3</v>
      </c>
    </row>
    <row r="117" spans="1:8" x14ac:dyDescent="0.35">
      <c r="B117" s="6" t="s">
        <v>34</v>
      </c>
      <c r="C117" s="7">
        <v>0.30603300649611087</v>
      </c>
      <c r="D117" s="7">
        <v>0.22122567754701733</v>
      </c>
      <c r="E117" s="7">
        <v>6.4756578070748735E-2</v>
      </c>
      <c r="F117" s="7">
        <v>0.23253264210592844</v>
      </c>
      <c r="G117" s="7">
        <v>0.16798490199451524</v>
      </c>
      <c r="H117" s="7">
        <v>7.4671937856793207E-3</v>
      </c>
    </row>
    <row r="118" spans="1:8" x14ac:dyDescent="0.35">
      <c r="B118" s="6" t="s">
        <v>27</v>
      </c>
      <c r="C118" s="7">
        <v>0.30091897468943452</v>
      </c>
      <c r="D118" s="7">
        <v>0.22577578234924936</v>
      </c>
      <c r="E118" s="7">
        <v>6.34972893586217E-2</v>
      </c>
      <c r="F118" s="7">
        <v>0.23055619030022334</v>
      </c>
      <c r="G118" s="7">
        <v>0.17010385623554233</v>
      </c>
      <c r="H118" s="7">
        <v>9.1479070669288169E-3</v>
      </c>
    </row>
    <row r="119" spans="1:8" x14ac:dyDescent="0.35">
      <c r="B119" s="6" t="s">
        <v>37</v>
      </c>
      <c r="C119" s="7">
        <v>0.29935367083824527</v>
      </c>
      <c r="D119" s="7">
        <v>0.22290465546386348</v>
      </c>
      <c r="E119" s="7">
        <v>6.6539828562976244E-2</v>
      </c>
      <c r="F119" s="7">
        <v>0.2249462183607274</v>
      </c>
      <c r="G119" s="7">
        <v>0.17652160578464776</v>
      </c>
      <c r="H119" s="7">
        <v>9.7340209895399772E-3</v>
      </c>
    </row>
    <row r="120" spans="1:8" x14ac:dyDescent="0.35">
      <c r="B120" s="6" t="s">
        <v>29</v>
      </c>
      <c r="C120" s="7">
        <v>0.29179555897535114</v>
      </c>
      <c r="D120" s="7">
        <v>0.22856628681997218</v>
      </c>
      <c r="E120" s="7">
        <v>7.0231318945262008E-2</v>
      </c>
      <c r="F120" s="7">
        <v>0.22389873762022142</v>
      </c>
      <c r="G120" s="7">
        <v>0.1752408962406746</v>
      </c>
      <c r="H120" s="7">
        <v>1.0267201398518808E-2</v>
      </c>
    </row>
    <row r="121" spans="1:8" x14ac:dyDescent="0.35">
      <c r="B121" s="6" t="s">
        <v>30</v>
      </c>
      <c r="C121" s="7">
        <v>0.28964788523664614</v>
      </c>
      <c r="D121" s="7">
        <v>0.22555359467595765</v>
      </c>
      <c r="E121" s="7">
        <v>6.9887187602644646E-2</v>
      </c>
      <c r="F121" s="7">
        <v>0.22631297894066824</v>
      </c>
      <c r="G121" s="7">
        <v>0.17773242972877074</v>
      </c>
      <c r="H121" s="7">
        <v>1.0865923815312786E-2</v>
      </c>
    </row>
    <row r="122" spans="1:8" x14ac:dyDescent="0.35">
      <c r="B122" s="6" t="s">
        <v>35</v>
      </c>
      <c r="C122" s="7">
        <v>0.29697772256960381</v>
      </c>
      <c r="D122" s="7">
        <v>0.21820673777288113</v>
      </c>
      <c r="E122" s="7">
        <v>7.0458699999130153E-2</v>
      </c>
      <c r="F122" s="7">
        <v>0.2271698404325895</v>
      </c>
      <c r="G122" s="7">
        <v>0.17590123395515303</v>
      </c>
      <c r="H122" s="7">
        <v>1.1285765270642354E-2</v>
      </c>
    </row>
    <row r="123" spans="1:8" x14ac:dyDescent="0.35">
      <c r="B123" s="6" t="s">
        <v>31</v>
      </c>
      <c r="C123" s="7">
        <v>0.29945211210618677</v>
      </c>
      <c r="D123" s="7">
        <v>0.22015196915377688</v>
      </c>
      <c r="E123" s="7">
        <v>6.9904962400659951E-2</v>
      </c>
      <c r="F123" s="7">
        <v>0.2236226529959594</v>
      </c>
      <c r="G123" s="7">
        <v>0.17576086487376397</v>
      </c>
      <c r="H123" s="7">
        <v>1.1107438469652994E-2</v>
      </c>
    </row>
    <row r="124" spans="1:8" x14ac:dyDescent="0.35">
      <c r="A124" s="42" t="s">
        <v>77</v>
      </c>
      <c r="B124" s="18" t="s">
        <v>39</v>
      </c>
      <c r="C124" s="11">
        <v>0.30240674502988668</v>
      </c>
      <c r="D124" s="11">
        <v>0.21600262713240709</v>
      </c>
      <c r="E124" s="11">
        <v>7.1216103525130442E-2</v>
      </c>
      <c r="F124" s="11">
        <v>0.22278410654158126</v>
      </c>
      <c r="G124" s="11">
        <v>0.17650312203825216</v>
      </c>
      <c r="H124" s="11">
        <v>1.1087295732742381E-2</v>
      </c>
    </row>
    <row r="125" spans="1:8" x14ac:dyDescent="0.35">
      <c r="B125" s="14" t="s">
        <v>33</v>
      </c>
      <c r="C125" s="7">
        <v>0.30312171153565076</v>
      </c>
      <c r="D125" s="7">
        <v>0.21318284415377778</v>
      </c>
      <c r="E125" s="7">
        <v>7.2881164936456994E-2</v>
      </c>
      <c r="F125" s="7">
        <v>0.22346680222765372</v>
      </c>
      <c r="G125" s="7">
        <v>0.17553748313317144</v>
      </c>
      <c r="H125" s="7">
        <v>1.1809994013289209E-2</v>
      </c>
    </row>
    <row r="126" spans="1:8" x14ac:dyDescent="0.35">
      <c r="B126" s="6" t="s">
        <v>25</v>
      </c>
      <c r="C126" s="7">
        <v>0.29332564172114661</v>
      </c>
      <c r="D126" s="7">
        <v>0.22687885711765543</v>
      </c>
      <c r="E126" s="7">
        <v>7.2779106244661676E-2</v>
      </c>
      <c r="F126" s="7">
        <v>0.22606897013001009</v>
      </c>
      <c r="G126" s="7">
        <v>0.1700191381162498</v>
      </c>
      <c r="H126" s="7">
        <v>1.0928286670276323E-2</v>
      </c>
    </row>
    <row r="127" spans="1:8" x14ac:dyDescent="0.35">
      <c r="B127" s="6" t="s">
        <v>26</v>
      </c>
      <c r="C127" s="7">
        <v>0.29886176684937504</v>
      </c>
      <c r="D127" s="7">
        <v>0.21228275020506213</v>
      </c>
      <c r="E127" s="7">
        <v>7.3838158140169655E-2</v>
      </c>
      <c r="F127" s="7">
        <v>0.22738021505084552</v>
      </c>
      <c r="G127" s="7">
        <v>0.17576388898860945</v>
      </c>
      <c r="H127" s="7">
        <v>1.1873220765938202E-2</v>
      </c>
    </row>
    <row r="128" spans="1:8" x14ac:dyDescent="0.35">
      <c r="B128" s="6" t="s">
        <v>15</v>
      </c>
      <c r="C128" s="7">
        <v>0.30501456652209902</v>
      </c>
      <c r="D128" s="7">
        <v>0.20957703228174623</v>
      </c>
      <c r="E128" s="7">
        <v>7.2762911090882884E-2</v>
      </c>
      <c r="F128" s="7">
        <v>0.22646413767057241</v>
      </c>
      <c r="G128" s="7">
        <v>0.17060595465478334</v>
      </c>
      <c r="H128" s="7">
        <v>1.5575397779915973E-2</v>
      </c>
    </row>
    <row r="129" spans="1:10" x14ac:dyDescent="0.35">
      <c r="B129" s="6" t="s">
        <v>34</v>
      </c>
      <c r="C129" s="7">
        <v>0.30133243740435472</v>
      </c>
      <c r="D129" s="7">
        <v>0.20680627801135981</v>
      </c>
      <c r="E129" s="7">
        <v>7.168138586535093E-2</v>
      </c>
      <c r="F129" s="7">
        <v>0.22895935180995985</v>
      </c>
      <c r="G129" s="7">
        <v>0.17583415513388248</v>
      </c>
      <c r="H129" s="7">
        <v>1.5386391775092144E-2</v>
      </c>
    </row>
    <row r="130" spans="1:10" x14ac:dyDescent="0.35">
      <c r="B130" s="6" t="s">
        <v>27</v>
      </c>
      <c r="C130" s="7">
        <v>0.29560353510169662</v>
      </c>
      <c r="D130" s="7">
        <v>0.20984427216920276</v>
      </c>
      <c r="E130" s="7">
        <v>7.0840480790433966E-2</v>
      </c>
      <c r="F130" s="7">
        <v>0.23005620242500038</v>
      </c>
      <c r="G130" s="7">
        <v>0.17975960717317549</v>
      </c>
      <c r="H130" s="7">
        <v>1.3895902340490733E-2</v>
      </c>
    </row>
    <row r="131" spans="1:10" x14ac:dyDescent="0.35">
      <c r="B131" s="6" t="s">
        <v>37</v>
      </c>
      <c r="C131" s="7">
        <v>0.29754050116657754</v>
      </c>
      <c r="D131" s="7">
        <v>0.19943845334796692</v>
      </c>
      <c r="E131" s="7">
        <v>7.2448462849362905E-2</v>
      </c>
      <c r="F131" s="7">
        <v>0.22892474206283753</v>
      </c>
      <c r="G131" s="7">
        <v>0.18639011270507305</v>
      </c>
      <c r="H131" s="7">
        <v>1.5257727868181997E-2</v>
      </c>
    </row>
    <row r="132" spans="1:10" x14ac:dyDescent="0.35">
      <c r="B132" s="6" t="s">
        <v>29</v>
      </c>
      <c r="C132" s="7">
        <v>0.28961214030591204</v>
      </c>
      <c r="D132" s="7">
        <v>0.19722762741526134</v>
      </c>
      <c r="E132" s="7">
        <v>7.3653127214048611E-2</v>
      </c>
      <c r="F132" s="7">
        <v>0.22959043158640818</v>
      </c>
      <c r="G132" s="7">
        <v>0.19440857669413161</v>
      </c>
      <c r="H132" s="7">
        <v>1.5508096784238128E-2</v>
      </c>
    </row>
    <row r="133" spans="1:10" x14ac:dyDescent="0.35">
      <c r="B133" s="6" t="s">
        <v>30</v>
      </c>
      <c r="C133" s="7">
        <v>0.28396721748664294</v>
      </c>
      <c r="D133" s="7">
        <v>0.1994339226237995</v>
      </c>
      <c r="E133" s="7">
        <v>7.2439424708625633E-2</v>
      </c>
      <c r="F133" s="7">
        <v>0.23176271282035343</v>
      </c>
      <c r="G133" s="7">
        <v>0.19628174396501105</v>
      </c>
      <c r="H133" s="7">
        <v>1.6114978395567432E-2</v>
      </c>
    </row>
    <row r="134" spans="1:10" x14ac:dyDescent="0.35">
      <c r="B134" s="6" t="s">
        <v>35</v>
      </c>
      <c r="C134" s="7">
        <v>0.28215795880469224</v>
      </c>
      <c r="D134" s="7">
        <v>0.19904891257530019</v>
      </c>
      <c r="E134" s="7">
        <v>6.7312149635161606E-2</v>
      </c>
      <c r="F134" s="7">
        <v>0.23631717559254778</v>
      </c>
      <c r="G134" s="7">
        <v>0.19953374291821052</v>
      </c>
      <c r="H134" s="7">
        <v>1.5630060474087576E-2</v>
      </c>
    </row>
    <row r="135" spans="1:10" x14ac:dyDescent="0.35">
      <c r="B135" s="6" t="s">
        <v>31</v>
      </c>
      <c r="C135" s="7">
        <v>0.28178536087797479</v>
      </c>
      <c r="D135" s="7">
        <v>0.20053233635414361</v>
      </c>
      <c r="E135" s="7">
        <v>6.5663275472377172E-2</v>
      </c>
      <c r="F135" s="7">
        <v>0.23487748192931943</v>
      </c>
      <c r="G135" s="7">
        <v>0.20117046762208779</v>
      </c>
      <c r="H135" s="7">
        <v>1.5971077744097398E-2</v>
      </c>
    </row>
    <row r="136" spans="1:10" x14ac:dyDescent="0.35">
      <c r="A136" s="42" t="s">
        <v>78</v>
      </c>
      <c r="B136" s="18" t="s">
        <v>39</v>
      </c>
      <c r="C136" s="11">
        <v>0.28391706785469817</v>
      </c>
      <c r="D136" s="11">
        <v>0.19418550807511084</v>
      </c>
      <c r="E136" s="11">
        <v>6.5005852377186382E-2</v>
      </c>
      <c r="F136" s="11">
        <v>0.23445909156892328</v>
      </c>
      <c r="G136" s="11">
        <v>0.2060343292305577</v>
      </c>
      <c r="H136" s="11">
        <v>1.6398150893523769E-2</v>
      </c>
    </row>
    <row r="137" spans="1:10" x14ac:dyDescent="0.35">
      <c r="B137" s="6" t="s">
        <v>33</v>
      </c>
      <c r="C137" s="7">
        <v>0.29081600298137505</v>
      </c>
      <c r="D137" s="7">
        <v>0.18969371984003658</v>
      </c>
      <c r="E137" s="7">
        <v>6.471463738380101E-2</v>
      </c>
      <c r="F137" s="7">
        <v>0.2346925497114293</v>
      </c>
      <c r="G137" s="7">
        <v>0.20467826677119369</v>
      </c>
      <c r="H137" s="7">
        <v>1.5404823312164381E-2</v>
      </c>
    </row>
    <row r="138" spans="1:10" x14ac:dyDescent="0.35">
      <c r="B138" s="6" t="s">
        <v>25</v>
      </c>
      <c r="C138" s="7">
        <v>0.28559582424361096</v>
      </c>
      <c r="D138" s="7">
        <v>0.18943516749516889</v>
      </c>
      <c r="E138" s="7">
        <v>6.5210775957713643E-2</v>
      </c>
      <c r="F138" s="7">
        <v>0.23806449307654101</v>
      </c>
      <c r="G138" s="7">
        <v>0.20684881266799524</v>
      </c>
      <c r="H138" s="7">
        <v>1.4844926558970274E-2</v>
      </c>
    </row>
    <row r="139" spans="1:10" x14ac:dyDescent="0.35">
      <c r="B139" s="6" t="s">
        <v>26</v>
      </c>
      <c r="C139" s="7">
        <v>0.28394370865512547</v>
      </c>
      <c r="D139" s="7">
        <v>0.19178571400966976</v>
      </c>
      <c r="E139" s="7">
        <v>6.4222798005125287E-2</v>
      </c>
      <c r="F139" s="7">
        <v>0.24076842827234957</v>
      </c>
      <c r="G139" s="7">
        <v>0.20021587609376315</v>
      </c>
      <c r="H139" s="7">
        <v>1.9063474963966726E-2</v>
      </c>
      <c r="J139" s="64"/>
    </row>
    <row r="140" spans="1:10" x14ac:dyDescent="0.35">
      <c r="B140" s="6" t="s">
        <v>15</v>
      </c>
      <c r="C140" s="7">
        <v>0.28097017112873585</v>
      </c>
      <c r="D140" s="7">
        <v>0.18642989753194136</v>
      </c>
      <c r="E140" s="7">
        <v>6.3481556184963303E-2</v>
      </c>
      <c r="F140" s="7">
        <v>0.24185923026205533</v>
      </c>
      <c r="G140" s="7">
        <v>0.20845188672253012</v>
      </c>
      <c r="H140" s="7">
        <v>1.8807258169773987E-2</v>
      </c>
    </row>
    <row r="141" spans="1:10" x14ac:dyDescent="0.35">
      <c r="B141" s="6" t="s">
        <v>34</v>
      </c>
      <c r="C141" s="7">
        <v>0.27415637130031362</v>
      </c>
      <c r="D141" s="7">
        <v>0.18905150305649582</v>
      </c>
      <c r="E141" s="7">
        <v>6.5306033355783874E-2</v>
      </c>
      <c r="F141" s="7">
        <v>0.24010711658271541</v>
      </c>
      <c r="G141" s="7">
        <v>0.21470268975867438</v>
      </c>
      <c r="H141" s="7">
        <v>1.6676285946016868E-2</v>
      </c>
    </row>
    <row r="142" spans="1:10" x14ac:dyDescent="0.35">
      <c r="B142" s="6" t="s">
        <v>27</v>
      </c>
      <c r="C142" s="7">
        <v>0.26495344317152603</v>
      </c>
      <c r="D142" s="7">
        <v>0.20226857465051984</v>
      </c>
      <c r="E142" s="7">
        <v>6.5541206286431869E-2</v>
      </c>
      <c r="F142" s="7">
        <v>0.23855597267793577</v>
      </c>
      <c r="G142" s="7">
        <v>0.21156679138704176</v>
      </c>
      <c r="H142" s="7">
        <v>1.7114011826544654E-2</v>
      </c>
    </row>
    <row r="143" spans="1:10" x14ac:dyDescent="0.35">
      <c r="B143" s="6" t="s">
        <v>37</v>
      </c>
      <c r="C143" s="7">
        <v>0.27290424318648399</v>
      </c>
      <c r="D143" s="7">
        <v>0.19427378263832346</v>
      </c>
      <c r="E143" s="7">
        <v>6.400200268857846E-2</v>
      </c>
      <c r="F143" s="7">
        <v>0.23610692388115892</v>
      </c>
      <c r="G143" s="7">
        <v>0.21496573179844741</v>
      </c>
      <c r="H143" s="7">
        <v>1.7747315807007735E-2</v>
      </c>
    </row>
    <row r="144" spans="1:10" x14ac:dyDescent="0.35">
      <c r="B144" s="6" t="s">
        <v>29</v>
      </c>
      <c r="C144" s="7">
        <v>0.26780533902178755</v>
      </c>
      <c r="D144" s="7">
        <v>0.20268696079595225</v>
      </c>
      <c r="E144" s="7">
        <v>6.2526160733844871E-2</v>
      </c>
      <c r="F144" s="7">
        <v>0.23603007212598215</v>
      </c>
      <c r="G144" s="7">
        <v>0.21265279329034009</v>
      </c>
      <c r="H144" s="7">
        <v>1.8298674032093072E-2</v>
      </c>
    </row>
    <row r="145" spans="1:8" x14ac:dyDescent="0.35">
      <c r="B145" s="6" t="s">
        <v>30</v>
      </c>
      <c r="C145" s="7">
        <v>0.26192020683397166</v>
      </c>
      <c r="D145" s="7">
        <v>0.20365189043416121</v>
      </c>
      <c r="E145" s="7">
        <v>6.2468682701779257E-2</v>
      </c>
      <c r="F145" s="7">
        <v>0.23334984142102291</v>
      </c>
      <c r="G145" s="7">
        <v>0.22124878503089659</v>
      </c>
      <c r="H145" s="7">
        <v>1.7360593578168385E-2</v>
      </c>
    </row>
    <row r="146" spans="1:8" x14ac:dyDescent="0.35">
      <c r="B146" s="6" t="s">
        <v>35</v>
      </c>
      <c r="C146" s="7">
        <v>0.26156821354967968</v>
      </c>
      <c r="D146" s="7">
        <v>0.20077046002781615</v>
      </c>
      <c r="E146" s="7">
        <v>6.2238604435036295E-2</v>
      </c>
      <c r="F146" s="7">
        <v>0.23194971532707692</v>
      </c>
      <c r="G146" s="7">
        <v>0.21964000529743299</v>
      </c>
      <c r="H146" s="7">
        <v>2.3833001362957892E-2</v>
      </c>
    </row>
    <row r="147" spans="1:8" x14ac:dyDescent="0.35">
      <c r="B147" s="6" t="s">
        <v>31</v>
      </c>
      <c r="C147" s="7">
        <v>0.25619669758324859</v>
      </c>
      <c r="D147" s="7">
        <v>0.21451662486182962</v>
      </c>
      <c r="E147" s="7">
        <v>6.2088531898306071E-2</v>
      </c>
      <c r="F147" s="7">
        <v>0.23139703078649432</v>
      </c>
      <c r="G147" s="7">
        <v>0.21385538506820861</v>
      </c>
      <c r="H147" s="7">
        <v>2.1945729801912842E-2</v>
      </c>
    </row>
    <row r="148" spans="1:8" x14ac:dyDescent="0.35">
      <c r="A148" s="42" t="s">
        <v>81</v>
      </c>
      <c r="B148" s="18" t="s">
        <v>39</v>
      </c>
      <c r="C148" s="11">
        <v>0.26376981527368187</v>
      </c>
      <c r="D148" s="11">
        <v>0.20655828757491074</v>
      </c>
      <c r="E148" s="11">
        <v>6.3971348187361499E-2</v>
      </c>
      <c r="F148" s="11">
        <v>0.23134080447029798</v>
      </c>
      <c r="G148" s="11">
        <v>0.21619040128825537</v>
      </c>
      <c r="H148" s="11">
        <v>1.8169343205492669E-2</v>
      </c>
    </row>
    <row r="149" spans="1:8" x14ac:dyDescent="0.35">
      <c r="B149" s="6" t="s">
        <v>33</v>
      </c>
      <c r="C149" s="7">
        <v>0.25412296034686649</v>
      </c>
      <c r="D149" s="7">
        <v>0.20507083677189983</v>
      </c>
      <c r="E149" s="7">
        <v>6.4382231923341013E-2</v>
      </c>
      <c r="F149" s="7">
        <v>0.23348317076819766</v>
      </c>
      <c r="G149" s="7">
        <v>0.22291838254415072</v>
      </c>
      <c r="H149" s="7">
        <v>2.0022417645544358E-2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opLeftCell="M1" workbookViewId="0">
      <selection activeCell="S16" sqref="S16"/>
    </sheetView>
  </sheetViews>
  <sheetFormatPr defaultRowHeight="14.5" x14ac:dyDescent="0.35"/>
  <cols>
    <col min="1" max="1" width="19.7265625" style="20" bestFit="1" customWidth="1"/>
    <col min="2" max="2" width="9.1796875" style="20" customWidth="1"/>
    <col min="3" max="3" width="29.7265625" style="21" bestFit="1" customWidth="1"/>
    <col min="4" max="4" width="18.81640625" style="20" bestFit="1" customWidth="1"/>
    <col min="5" max="5" width="17.81640625" style="20" bestFit="1" customWidth="1"/>
    <col min="6" max="9" width="18.7265625" style="20" bestFit="1" customWidth="1"/>
    <col min="10" max="10" width="17.81640625" style="20" bestFit="1" customWidth="1"/>
    <col min="11" max="12" width="18.7265625" style="20" bestFit="1" customWidth="1"/>
    <col min="13" max="14" width="17.81640625" style="20" bestFit="1" customWidth="1"/>
    <col min="15" max="15" width="20.453125" style="20" bestFit="1" customWidth="1"/>
    <col min="16" max="16" width="22.54296875" customWidth="1"/>
    <col min="17" max="17" width="20.26953125" bestFit="1" customWidth="1"/>
    <col min="18" max="18" width="20.54296875" bestFit="1" customWidth="1"/>
  </cols>
  <sheetData>
    <row r="1" spans="1:18" x14ac:dyDescent="0.35">
      <c r="A1" s="47" t="s">
        <v>82</v>
      </c>
    </row>
    <row r="2" spans="1:18" x14ac:dyDescent="0.35">
      <c r="A2" s="22"/>
      <c r="B2" s="22"/>
      <c r="C2" s="23" t="s">
        <v>40</v>
      </c>
      <c r="D2" s="49" t="s">
        <v>41</v>
      </c>
      <c r="E2" s="49" t="s">
        <v>42</v>
      </c>
      <c r="F2" s="49" t="s">
        <v>43</v>
      </c>
      <c r="G2" s="49" t="s">
        <v>44</v>
      </c>
      <c r="H2" s="49" t="s">
        <v>45</v>
      </c>
      <c r="I2" s="49" t="s">
        <v>46</v>
      </c>
      <c r="J2" s="49" t="s">
        <v>47</v>
      </c>
      <c r="K2" s="49" t="s">
        <v>48</v>
      </c>
      <c r="L2" s="49" t="s">
        <v>49</v>
      </c>
      <c r="M2" s="49" t="s">
        <v>50</v>
      </c>
      <c r="N2" s="37" t="s">
        <v>51</v>
      </c>
      <c r="O2" s="37" t="s">
        <v>52</v>
      </c>
      <c r="P2" s="37" t="s">
        <v>53</v>
      </c>
    </row>
    <row r="3" spans="1:18" x14ac:dyDescent="0.35">
      <c r="C3" s="23" t="s">
        <v>54</v>
      </c>
      <c r="D3" s="59">
        <v>4634781534</v>
      </c>
      <c r="E3" s="59">
        <v>149293863109.89001</v>
      </c>
      <c r="F3" s="59">
        <v>95948745841</v>
      </c>
      <c r="G3" s="59">
        <v>60308646436</v>
      </c>
      <c r="H3" s="59">
        <v>81995540883</v>
      </c>
      <c r="I3" s="59">
        <v>94529002771</v>
      </c>
      <c r="J3" s="59">
        <v>30730113295</v>
      </c>
      <c r="K3" s="59">
        <v>80758884516</v>
      </c>
      <c r="L3" s="59">
        <v>50459634167</v>
      </c>
      <c r="M3" s="59">
        <v>44693173009</v>
      </c>
      <c r="N3" s="59">
        <v>56188486423</v>
      </c>
      <c r="O3" s="59">
        <v>71699946628</v>
      </c>
      <c r="P3" s="58">
        <f>SUM(D3:O3)</f>
        <v>821240818612.89001</v>
      </c>
      <c r="R3" s="63"/>
    </row>
    <row r="4" spans="1:18" x14ac:dyDescent="0.35">
      <c r="C4" s="23" t="s">
        <v>75</v>
      </c>
      <c r="D4" s="59">
        <v>44305570594</v>
      </c>
      <c r="E4" s="59">
        <v>84443768075.009995</v>
      </c>
      <c r="F4" s="59">
        <v>87328982984.529999</v>
      </c>
      <c r="G4" s="59">
        <v>44733217054</v>
      </c>
      <c r="H4" s="59">
        <v>55227252703.199997</v>
      </c>
      <c r="I4" s="59">
        <v>28533897963.799999</v>
      </c>
      <c r="J4" s="59">
        <v>15660583438</v>
      </c>
      <c r="K4" s="59">
        <v>32792582817.689999</v>
      </c>
      <c r="L4" s="59">
        <v>23384490484</v>
      </c>
      <c r="M4" s="59">
        <v>8427940922</v>
      </c>
      <c r="N4" s="59">
        <v>30238910858.099998</v>
      </c>
      <c r="O4" s="59">
        <v>111509716392.58</v>
      </c>
      <c r="P4" s="58">
        <f>SUM(D4:O4)</f>
        <v>566586914286.90991</v>
      </c>
    </row>
    <row r="5" spans="1:18" x14ac:dyDescent="0.35">
      <c r="C5" s="23" t="s">
        <v>55</v>
      </c>
      <c r="D5" s="59">
        <v>5944994263</v>
      </c>
      <c r="E5" s="59">
        <v>18555129289.900002</v>
      </c>
      <c r="F5" s="59">
        <v>11076490151</v>
      </c>
      <c r="G5" s="59">
        <v>4380990997</v>
      </c>
      <c r="H5" s="59">
        <v>13692296004</v>
      </c>
      <c r="I5" s="59">
        <v>17358013039</v>
      </c>
      <c r="J5" s="59">
        <v>5339670417</v>
      </c>
      <c r="K5" s="59">
        <v>16777751218</v>
      </c>
      <c r="L5" s="59">
        <v>15121114118</v>
      </c>
      <c r="M5" s="59">
        <v>7380101644</v>
      </c>
      <c r="N5" s="59">
        <v>17922260915</v>
      </c>
      <c r="O5" s="59">
        <v>24179429661</v>
      </c>
      <c r="P5" s="58">
        <f t="shared" ref="P5:P11" si="0">SUM(D5:O5)</f>
        <v>157728241716.89999</v>
      </c>
    </row>
    <row r="6" spans="1:18" x14ac:dyDescent="0.35">
      <c r="C6" s="23" t="s">
        <v>56</v>
      </c>
      <c r="D6" s="59">
        <v>2078853331</v>
      </c>
      <c r="E6" s="59">
        <v>2237979259</v>
      </c>
      <c r="F6" s="59">
        <v>2740517280</v>
      </c>
      <c r="G6" s="59">
        <v>948191908</v>
      </c>
      <c r="H6" s="59">
        <v>2420962630</v>
      </c>
      <c r="I6" s="59">
        <v>3145117710</v>
      </c>
      <c r="J6" s="59">
        <v>453566881</v>
      </c>
      <c r="K6" s="59">
        <v>2943395822</v>
      </c>
      <c r="L6" s="59">
        <v>1492994345</v>
      </c>
      <c r="M6" s="59">
        <v>485803274</v>
      </c>
      <c r="N6" s="59">
        <v>869292078</v>
      </c>
      <c r="O6" s="59">
        <v>2194881569</v>
      </c>
      <c r="P6" s="58">
        <f t="shared" si="0"/>
        <v>22011556087</v>
      </c>
    </row>
    <row r="7" spans="1:18" x14ac:dyDescent="0.35">
      <c r="C7" s="23" t="s">
        <v>57</v>
      </c>
      <c r="D7" s="59">
        <v>768210224</v>
      </c>
      <c r="E7" s="59">
        <v>3024924739.73</v>
      </c>
      <c r="F7" s="59">
        <v>7561104093</v>
      </c>
      <c r="G7" s="59">
        <v>2679640645</v>
      </c>
      <c r="H7" s="59">
        <v>10998817146</v>
      </c>
      <c r="I7" s="59">
        <v>10446836148</v>
      </c>
      <c r="J7" s="59">
        <v>4060066333</v>
      </c>
      <c r="K7" s="59">
        <v>8555922650</v>
      </c>
      <c r="L7" s="59">
        <v>10545666169</v>
      </c>
      <c r="M7" s="59">
        <v>3456482868</v>
      </c>
      <c r="N7" s="59">
        <v>12808633639</v>
      </c>
      <c r="O7" s="59">
        <v>11071088846</v>
      </c>
      <c r="P7" s="58">
        <f t="shared" si="0"/>
        <v>85977393500.729996</v>
      </c>
    </row>
    <row r="8" spans="1:18" x14ac:dyDescent="0.35">
      <c r="C8" s="23" t="s">
        <v>58</v>
      </c>
      <c r="D8" s="59">
        <v>82915307</v>
      </c>
      <c r="E8" s="59">
        <v>24086275288.510002</v>
      </c>
      <c r="F8" s="59">
        <v>47907312731</v>
      </c>
      <c r="G8" s="59">
        <v>17498513594</v>
      </c>
      <c r="H8" s="59">
        <v>39932907368</v>
      </c>
      <c r="I8" s="59">
        <v>35972359100</v>
      </c>
      <c r="J8" s="59">
        <v>14559716681</v>
      </c>
      <c r="K8" s="59">
        <v>52771306462</v>
      </c>
      <c r="L8" s="59">
        <v>34885239738</v>
      </c>
      <c r="M8" s="59">
        <v>8790330510</v>
      </c>
      <c r="N8" s="59">
        <v>43270576506</v>
      </c>
      <c r="O8" s="59">
        <v>60557768265</v>
      </c>
      <c r="P8" s="58">
        <f t="shared" si="0"/>
        <v>380315221550.51001</v>
      </c>
    </row>
    <row r="9" spans="1:18" x14ac:dyDescent="0.35">
      <c r="C9" s="23" t="s">
        <v>5</v>
      </c>
      <c r="D9" s="59">
        <v>10111464880</v>
      </c>
      <c r="E9" s="59">
        <v>79832125839.849991</v>
      </c>
      <c r="F9" s="59">
        <v>94676015025.470001</v>
      </c>
      <c r="G9" s="59">
        <v>33800154128</v>
      </c>
      <c r="H9" s="59">
        <v>75921923958</v>
      </c>
      <c r="I9" s="59">
        <v>66134729081.199997</v>
      </c>
      <c r="J9" s="59">
        <v>28973184534</v>
      </c>
      <c r="K9" s="59">
        <v>58763301012</v>
      </c>
      <c r="L9" s="59">
        <v>61478253416</v>
      </c>
      <c r="M9" s="59">
        <v>18249242212</v>
      </c>
      <c r="N9" s="59">
        <v>60325790328</v>
      </c>
      <c r="O9" s="59">
        <v>82750220019.419998</v>
      </c>
      <c r="P9" s="58">
        <f t="shared" si="0"/>
        <v>671016404433.94006</v>
      </c>
    </row>
    <row r="10" spans="1:18" x14ac:dyDescent="0.35">
      <c r="C10" s="23" t="s">
        <v>59</v>
      </c>
      <c r="D10" s="59">
        <v>283996879</v>
      </c>
      <c r="E10" s="59">
        <v>16481897713</v>
      </c>
      <c r="F10" s="59">
        <v>14178014019.1</v>
      </c>
      <c r="G10" s="59">
        <v>1110222990</v>
      </c>
      <c r="H10" s="59">
        <v>4267735098</v>
      </c>
      <c r="I10" s="59">
        <v>3576216045</v>
      </c>
      <c r="J10" s="59">
        <v>2895051569</v>
      </c>
      <c r="K10" s="59">
        <v>4167882642.3099999</v>
      </c>
      <c r="L10" s="59">
        <v>3890921493</v>
      </c>
      <c r="M10" s="59">
        <v>1896694547</v>
      </c>
      <c r="N10" s="59">
        <v>1393611887</v>
      </c>
      <c r="O10" s="59">
        <v>2052212777</v>
      </c>
      <c r="P10" s="58">
        <f t="shared" si="0"/>
        <v>56194457659.409996</v>
      </c>
    </row>
    <row r="11" spans="1:18" x14ac:dyDescent="0.35">
      <c r="A11" s="22"/>
      <c r="B11" s="22"/>
      <c r="C11" s="24" t="s">
        <v>60</v>
      </c>
      <c r="D11" s="60">
        <v>1565537</v>
      </c>
      <c r="E11" s="60">
        <v>177973274</v>
      </c>
      <c r="F11" s="60">
        <v>446477905.90002441</v>
      </c>
      <c r="G11" s="60">
        <v>15583492</v>
      </c>
      <c r="H11" s="60">
        <v>366468581.79998779</v>
      </c>
      <c r="I11" s="60">
        <v>736095006</v>
      </c>
      <c r="J11" s="60">
        <v>1590598997</v>
      </c>
      <c r="K11" s="60">
        <v>60704781</v>
      </c>
      <c r="L11" s="60">
        <v>264115403</v>
      </c>
      <c r="M11" s="60">
        <v>2087510</v>
      </c>
      <c r="N11" s="60">
        <v>12948306.899993896</v>
      </c>
      <c r="O11" s="60">
        <v>78526000</v>
      </c>
      <c r="P11" s="58">
        <f t="shared" si="0"/>
        <v>3753144794.6000061</v>
      </c>
    </row>
    <row r="12" spans="1:18" x14ac:dyDescent="0.35">
      <c r="C12" s="24"/>
      <c r="D12" s="25">
        <f>SUM(D3:D11)</f>
        <v>68212352549</v>
      </c>
      <c r="E12" s="25">
        <f t="shared" ref="E12:P12" si="1">SUM(E3:E11)</f>
        <v>378133936588.89001</v>
      </c>
      <c r="F12" s="25">
        <f t="shared" si="1"/>
        <v>361863660031</v>
      </c>
      <c r="G12" s="25">
        <f t="shared" si="1"/>
        <v>165475161244</v>
      </c>
      <c r="H12" s="25">
        <f t="shared" si="1"/>
        <v>284823904372</v>
      </c>
      <c r="I12" s="25">
        <f t="shared" si="1"/>
        <v>260432266864</v>
      </c>
      <c r="J12" s="25">
        <f t="shared" si="1"/>
        <v>104262552145</v>
      </c>
      <c r="K12" s="25">
        <f t="shared" si="1"/>
        <v>257591731921</v>
      </c>
      <c r="L12" s="25">
        <f t="shared" si="1"/>
        <v>201522429333</v>
      </c>
      <c r="M12" s="25">
        <f t="shared" si="1"/>
        <v>93381856496</v>
      </c>
      <c r="N12" s="25">
        <f t="shared" si="1"/>
        <v>223030510941</v>
      </c>
      <c r="O12" s="25">
        <f t="shared" si="1"/>
        <v>366093790158</v>
      </c>
      <c r="P12" s="25">
        <f t="shared" si="1"/>
        <v>2764824152642.8901</v>
      </c>
    </row>
    <row r="13" spans="1:18" x14ac:dyDescent="0.35">
      <c r="O13"/>
    </row>
    <row r="15" spans="1:18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27" spans="4:16" x14ac:dyDescent="0.35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topLeftCell="D1" workbookViewId="0">
      <selection activeCell="K17" sqref="K17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29.7265625" style="20" bestFit="1" customWidth="1"/>
    <col min="4" max="4" width="11" style="20" bestFit="1" customWidth="1"/>
    <col min="5" max="10" width="12" style="20" bestFit="1" customWidth="1"/>
    <col min="11" max="11" width="11" style="20" bestFit="1" customWidth="1"/>
    <col min="12" max="12" width="12" style="20" bestFit="1" customWidth="1"/>
    <col min="13" max="13" width="12" style="20" customWidth="1"/>
    <col min="14" max="14" width="11" style="20" bestFit="1" customWidth="1"/>
    <col min="15" max="16" width="12" style="20" bestFit="1" customWidth="1"/>
    <col min="17" max="17" width="11.36328125" style="34" bestFit="1" customWidth="1"/>
    <col min="18" max="16384" width="9.1796875" style="34"/>
  </cols>
  <sheetData>
    <row r="1" spans="1:17" ht="15" thickBot="1" x14ac:dyDescent="0.4">
      <c r="A1" s="47" t="str">
        <f>'Fixed rate bond (Values)'!A1</f>
        <v>24 Feb 2023</v>
      </c>
    </row>
    <row r="2" spans="1:17" ht="15" thickBot="1" x14ac:dyDescent="0.4">
      <c r="A2" s="22"/>
      <c r="B2" s="22"/>
      <c r="C2" s="52" t="s">
        <v>40</v>
      </c>
      <c r="D2" s="53" t="s">
        <v>41</v>
      </c>
      <c r="E2" s="53" t="s">
        <v>42</v>
      </c>
      <c r="F2" s="53" t="s">
        <v>43</v>
      </c>
      <c r="G2" s="53" t="s">
        <v>44</v>
      </c>
      <c r="H2" s="53" t="s">
        <v>45</v>
      </c>
      <c r="I2" s="53" t="s">
        <v>46</v>
      </c>
      <c r="J2" s="53" t="s">
        <v>47</v>
      </c>
      <c r="K2" s="53" t="s">
        <v>48</v>
      </c>
      <c r="L2" s="53" t="s">
        <v>49</v>
      </c>
      <c r="M2" s="53" t="s">
        <v>50</v>
      </c>
      <c r="N2" s="53" t="s">
        <v>51</v>
      </c>
      <c r="O2" s="53" t="s">
        <v>52</v>
      </c>
      <c r="P2" s="53" t="s">
        <v>74</v>
      </c>
    </row>
    <row r="3" spans="1:17" x14ac:dyDescent="0.35">
      <c r="C3" s="54" t="s">
        <v>54</v>
      </c>
      <c r="D3" s="66">
        <v>6.7946366908700706E-2</v>
      </c>
      <c r="E3" s="66">
        <v>0.39481741431794154</v>
      </c>
      <c r="F3" s="66">
        <v>0.26515164808972613</v>
      </c>
      <c r="G3" s="66">
        <v>0.36445739640085556</v>
      </c>
      <c r="H3" s="66">
        <v>0.28788152828601099</v>
      </c>
      <c r="I3" s="66">
        <v>0.36296962703305835</v>
      </c>
      <c r="J3" s="66">
        <v>0.29473778132980116</v>
      </c>
      <c r="K3" s="66">
        <v>0.31351504923600454</v>
      </c>
      <c r="L3" s="66">
        <v>0.25039214907249563</v>
      </c>
      <c r="M3" s="66">
        <v>0.47860660181792836</v>
      </c>
      <c r="N3" s="66">
        <v>0.2519318374240912</v>
      </c>
      <c r="O3" s="66">
        <v>0.19585130519983826</v>
      </c>
      <c r="P3" s="66">
        <v>0.29703184480208894</v>
      </c>
      <c r="Q3" s="68"/>
    </row>
    <row r="4" spans="1:17" x14ac:dyDescent="0.35">
      <c r="C4" s="55" t="s">
        <v>75</v>
      </c>
      <c r="D4" s="66">
        <v>0.64952415417974796</v>
      </c>
      <c r="E4" s="66">
        <v>0.22331708398555583</v>
      </c>
      <c r="F4" s="66">
        <v>0.24133117698817486</v>
      </c>
      <c r="G4" s="66">
        <v>0.27033191397250861</v>
      </c>
      <c r="H4" s="66">
        <v>0.19389964063925383</v>
      </c>
      <c r="I4" s="66">
        <v>0.10956360479978715</v>
      </c>
      <c r="J4" s="66">
        <v>0.15020333874256708</v>
      </c>
      <c r="K4" s="66">
        <v>0.12730448517558418</v>
      </c>
      <c r="L4" s="66">
        <v>0.116039145426135</v>
      </c>
      <c r="M4" s="66">
        <v>9.0252445584662472E-2</v>
      </c>
      <c r="N4" s="66">
        <v>0.13558194675032303</v>
      </c>
      <c r="O4" s="66">
        <v>0.30459330201819118</v>
      </c>
      <c r="P4" s="67">
        <v>0.20492692591147635</v>
      </c>
      <c r="Q4" s="68"/>
    </row>
    <row r="5" spans="1:17" x14ac:dyDescent="0.35">
      <c r="C5" s="55" t="s">
        <v>55</v>
      </c>
      <c r="D5" s="66">
        <v>8.7154218273434322E-2</v>
      </c>
      <c r="E5" s="66">
        <v>4.9070256579676619E-2</v>
      </c>
      <c r="F5" s="66">
        <v>3.0609567564897518E-2</v>
      </c>
      <c r="G5" s="66">
        <v>2.6475218178153317E-2</v>
      </c>
      <c r="H5" s="66">
        <v>4.8072847095435155E-2</v>
      </c>
      <c r="I5" s="66">
        <v>6.6650777371087072E-2</v>
      </c>
      <c r="J5" s="66">
        <v>5.1213693767768263E-2</v>
      </c>
      <c r="K5" s="66">
        <v>6.513311235915567E-2</v>
      </c>
      <c r="L5" s="66">
        <v>7.5034397749411536E-2</v>
      </c>
      <c r="M5" s="66">
        <v>7.9031429882914409E-2</v>
      </c>
      <c r="N5" s="66">
        <v>8.0357888431422345E-2</v>
      </c>
      <c r="O5" s="66">
        <v>6.6047090420639359E-2</v>
      </c>
      <c r="P5" s="67">
        <v>5.7048200177985231E-2</v>
      </c>
      <c r="Q5" s="68"/>
    </row>
    <row r="6" spans="1:17" x14ac:dyDescent="0.35">
      <c r="C6" s="55" t="s">
        <v>56</v>
      </c>
      <c r="D6" s="66">
        <v>3.0476200472732064E-2</v>
      </c>
      <c r="E6" s="66">
        <v>5.9184829565645343E-3</v>
      </c>
      <c r="F6" s="66">
        <v>7.5733420696768123E-3</v>
      </c>
      <c r="G6" s="66">
        <v>5.73011623540195E-3</v>
      </c>
      <c r="H6" s="66">
        <v>8.4998576061862171E-3</v>
      </c>
      <c r="I6" s="66">
        <v>1.2076528564881738E-2</v>
      </c>
      <c r="J6" s="66">
        <v>4.3502376612574714E-3</v>
      </c>
      <c r="K6" s="66">
        <v>1.1426592771629412E-2</v>
      </c>
      <c r="L6" s="66">
        <v>7.4085765536943977E-3</v>
      </c>
      <c r="M6" s="66">
        <v>5.2023304336513091E-3</v>
      </c>
      <c r="N6" s="66">
        <v>3.8976374771878658E-3</v>
      </c>
      <c r="O6" s="66">
        <v>5.9954078108036893E-3</v>
      </c>
      <c r="P6" s="67">
        <v>7.9612860969690228E-3</v>
      </c>
      <c r="Q6" s="68"/>
    </row>
    <row r="7" spans="1:17" x14ac:dyDescent="0.35">
      <c r="C7" s="55" t="s">
        <v>57</v>
      </c>
      <c r="D7" s="66">
        <v>1.1262039722910304E-2</v>
      </c>
      <c r="E7" s="66">
        <v>7.9996119021147807E-3</v>
      </c>
      <c r="F7" s="66">
        <v>2.0894897521216302E-2</v>
      </c>
      <c r="G7" s="66">
        <v>1.6193612532872884E-2</v>
      </c>
      <c r="H7" s="66">
        <v>3.8616201018137765E-2</v>
      </c>
      <c r="I7" s="66">
        <v>4.0113447821945307E-2</v>
      </c>
      <c r="J7" s="66">
        <v>3.8940791774918236E-2</v>
      </c>
      <c r="K7" s="66">
        <v>3.3215051532104259E-2</v>
      </c>
      <c r="L7" s="66">
        <v>5.2329987306644239E-2</v>
      </c>
      <c r="M7" s="66">
        <v>3.701450150702517E-2</v>
      </c>
      <c r="N7" s="66">
        <v>5.742996142078681E-2</v>
      </c>
      <c r="O7" s="66">
        <v>3.0241127119970818E-2</v>
      </c>
      <c r="P7" s="67">
        <v>3.1096875878541631E-2</v>
      </c>
      <c r="Q7" s="68"/>
    </row>
    <row r="8" spans="1:17" x14ac:dyDescent="0.35">
      <c r="C8" s="55" t="s">
        <v>58</v>
      </c>
      <c r="D8" s="66">
        <v>1.2155468020317612E-3</v>
      </c>
      <c r="E8" s="66">
        <v>6.3697735003078487E-2</v>
      </c>
      <c r="F8" s="66">
        <v>0.1323905051059725</v>
      </c>
      <c r="G8" s="66">
        <v>0.1057470708138348</v>
      </c>
      <c r="H8" s="66">
        <v>0.14020209243338236</v>
      </c>
      <c r="I8" s="66">
        <v>0.13812558456431623</v>
      </c>
      <c r="J8" s="66">
        <v>0.13964473707445327</v>
      </c>
      <c r="K8" s="66">
        <v>0.20486413157928635</v>
      </c>
      <c r="L8" s="66">
        <v>0.17310847161511178</v>
      </c>
      <c r="M8" s="66">
        <v>9.4133173614689619E-2</v>
      </c>
      <c r="N8" s="66">
        <v>0.19401191488749583</v>
      </c>
      <c r="O8" s="66">
        <v>0.16541599418789452</v>
      </c>
      <c r="P8" s="67">
        <v>0.13755494040623431</v>
      </c>
      <c r="Q8" s="68"/>
    </row>
    <row r="9" spans="1:17" x14ac:dyDescent="0.35">
      <c r="C9" s="55" t="s">
        <v>5</v>
      </c>
      <c r="D9" s="66">
        <v>0.14823509968720813</v>
      </c>
      <c r="E9" s="66">
        <v>0.21112129358186663</v>
      </c>
      <c r="F9" s="66">
        <v>0.26163449244215164</v>
      </c>
      <c r="G9" s="66">
        <v>0.20426119469471474</v>
      </c>
      <c r="H9" s="66">
        <v>0.26655741597741966</v>
      </c>
      <c r="I9" s="66">
        <v>0.25394214732898718</v>
      </c>
      <c r="J9" s="66">
        <v>0.27788677658404543</v>
      </c>
      <c r="K9" s="66">
        <v>0.22812572660531641</v>
      </c>
      <c r="L9" s="66">
        <v>0.30506903682870956</v>
      </c>
      <c r="M9" s="66">
        <v>0.19542599490706961</v>
      </c>
      <c r="N9" s="66">
        <v>0.27048223166183055</v>
      </c>
      <c r="O9" s="66">
        <v>0.22603557406342886</v>
      </c>
      <c r="P9" s="67">
        <v>0.24269767890754165</v>
      </c>
      <c r="Q9" s="68"/>
    </row>
    <row r="10" spans="1:17" x14ac:dyDescent="0.35">
      <c r="C10" s="55" t="s">
        <v>59</v>
      </c>
      <c r="D10" s="66">
        <v>4.1634230221863737E-3</v>
      </c>
      <c r="E10" s="66">
        <v>4.3587459675483296E-2</v>
      </c>
      <c r="F10" s="66">
        <v>3.9180541140509673E-2</v>
      </c>
      <c r="G10" s="66">
        <v>6.7093029651920395E-3</v>
      </c>
      <c r="H10" s="66">
        <v>1.4983767276871672E-2</v>
      </c>
      <c r="I10" s="66">
        <v>1.3731847009831278E-2</v>
      </c>
      <c r="J10" s="66">
        <v>2.7766935581758963E-2</v>
      </c>
      <c r="K10" s="66">
        <v>1.6180187971204893E-2</v>
      </c>
      <c r="L10" s="66">
        <v>1.9307634916263128E-2</v>
      </c>
      <c r="M10" s="66">
        <v>2.0311167695421056E-2</v>
      </c>
      <c r="N10" s="66">
        <v>6.2485257336323055E-3</v>
      </c>
      <c r="O10" s="66">
        <v>5.605702233065191E-3</v>
      </c>
      <c r="P10" s="67">
        <v>2.0324785431903081E-2</v>
      </c>
      <c r="Q10" s="68"/>
    </row>
    <row r="11" spans="1:17" x14ac:dyDescent="0.35">
      <c r="C11" s="55" t="s">
        <v>60</v>
      </c>
      <c r="D11" s="66">
        <v>2.295093104838166E-5</v>
      </c>
      <c r="E11" s="66">
        <v>4.7066199771826839E-4</v>
      </c>
      <c r="F11" s="66">
        <v>1.2338290776746572E-3</v>
      </c>
      <c r="G11" s="66">
        <v>9.4174206466077968E-5</v>
      </c>
      <c r="H11" s="66">
        <v>1.2866496673023418E-3</v>
      </c>
      <c r="I11" s="66">
        <v>2.8264355061056825E-3</v>
      </c>
      <c r="J11" s="66">
        <v>1.5255707483430124E-2</v>
      </c>
      <c r="K11" s="66">
        <v>2.3566276971427545E-4</v>
      </c>
      <c r="L11" s="66">
        <v>1.3106005315347306E-3</v>
      </c>
      <c r="M11" s="66">
        <v>2.235455663798479E-5</v>
      </c>
      <c r="N11" s="66">
        <v>5.805621323003297E-5</v>
      </c>
      <c r="O11" s="66">
        <v>2.1449694616811031E-4</v>
      </c>
      <c r="P11" s="67">
        <v>1.3574623872597402E-3</v>
      </c>
      <c r="Q11" s="68"/>
    </row>
    <row r="12" spans="1:17" ht="15" thickBot="1" x14ac:dyDescent="0.4">
      <c r="A12" s="22"/>
      <c r="B12" s="22"/>
      <c r="C12" s="56"/>
      <c r="D12" s="57">
        <f>SUM(D3:D11)</f>
        <v>1</v>
      </c>
      <c r="E12" s="57">
        <f t="shared" ref="E12:P12" si="0">SUM(E3:E11)</f>
        <v>0.99999999999999978</v>
      </c>
      <c r="F12" s="57">
        <f t="shared" si="0"/>
        <v>1</v>
      </c>
      <c r="G12" s="57">
        <f t="shared" si="0"/>
        <v>1</v>
      </c>
      <c r="H12" s="57">
        <f t="shared" si="0"/>
        <v>0.99999999999999989</v>
      </c>
      <c r="I12" s="57">
        <f t="shared" si="0"/>
        <v>1</v>
      </c>
      <c r="J12" s="57">
        <f t="shared" si="0"/>
        <v>0.99999999999999978</v>
      </c>
      <c r="K12" s="57">
        <f t="shared" si="0"/>
        <v>1</v>
      </c>
      <c r="L12" s="57">
        <f t="shared" si="0"/>
        <v>1</v>
      </c>
      <c r="M12" s="57">
        <f t="shared" si="0"/>
        <v>1</v>
      </c>
      <c r="N12" s="57">
        <f t="shared" si="0"/>
        <v>1</v>
      </c>
      <c r="O12" s="57">
        <f t="shared" si="0"/>
        <v>1</v>
      </c>
      <c r="P12" s="57">
        <f t="shared" si="0"/>
        <v>1</v>
      </c>
      <c r="Q12" s="68"/>
    </row>
    <row r="14" spans="1:17" x14ac:dyDescent="0.35">
      <c r="D14" s="3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F1" workbookViewId="0">
      <selection activeCell="M12" sqref="M12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31.26953125" style="35" customWidth="1"/>
    <col min="4" max="6" width="17.7265625" style="20" bestFit="1" customWidth="1"/>
    <col min="7" max="7" width="16.54296875" style="20" bestFit="1" customWidth="1"/>
    <col min="8" max="11" width="17.7265625" style="20" bestFit="1" customWidth="1"/>
    <col min="12" max="12" width="18.7265625" style="20" bestFit="1" customWidth="1"/>
    <col min="13" max="13" width="18.81640625" style="34" customWidth="1"/>
    <col min="14" max="16384" width="9.1796875" style="34"/>
  </cols>
  <sheetData>
    <row r="1" spans="1:13" x14ac:dyDescent="0.35">
      <c r="A1" s="47" t="str">
        <f>'Fixed rate bond (Values)'!A1</f>
        <v>24 Feb 2023</v>
      </c>
      <c r="B1" s="33"/>
      <c r="D1" s="38"/>
      <c r="E1" s="38"/>
      <c r="F1" s="38"/>
      <c r="G1" s="38"/>
      <c r="H1" s="38"/>
      <c r="I1" s="38"/>
      <c r="J1" s="38"/>
      <c r="K1" s="38"/>
    </row>
    <row r="2" spans="1:13" x14ac:dyDescent="0.35">
      <c r="A2" s="22"/>
      <c r="B2" s="22"/>
      <c r="C2" s="23" t="s">
        <v>40</v>
      </c>
      <c r="D2" s="48" t="s">
        <v>61</v>
      </c>
      <c r="E2" s="48" t="s">
        <v>62</v>
      </c>
      <c r="F2" s="48" t="s">
        <v>63</v>
      </c>
      <c r="G2" s="48" t="s">
        <v>69</v>
      </c>
      <c r="H2" s="48" t="s">
        <v>64</v>
      </c>
      <c r="I2" s="48" t="s">
        <v>65</v>
      </c>
      <c r="J2" s="48" t="s">
        <v>66</v>
      </c>
      <c r="K2" s="48" t="s">
        <v>67</v>
      </c>
      <c r="L2" s="48" t="s">
        <v>68</v>
      </c>
      <c r="M2" s="27" t="s">
        <v>73</v>
      </c>
    </row>
    <row r="3" spans="1:13" x14ac:dyDescent="0.35">
      <c r="C3" s="23" t="s">
        <v>54</v>
      </c>
      <c r="D3" s="59">
        <v>272918998</v>
      </c>
      <c r="E3" s="59">
        <v>1990743845</v>
      </c>
      <c r="F3" s="59">
        <v>254966593</v>
      </c>
      <c r="G3" s="59">
        <v>5122851366</v>
      </c>
      <c r="H3" s="59">
        <v>9301803753</v>
      </c>
      <c r="I3" s="59">
        <v>173525135</v>
      </c>
      <c r="J3" s="59">
        <v>4048668570</v>
      </c>
      <c r="K3" s="59">
        <v>5073579143</v>
      </c>
      <c r="L3" s="59">
        <v>2774974492</v>
      </c>
      <c r="M3" s="25">
        <f>SUM(D3:L3)</f>
        <v>29014031895</v>
      </c>
    </row>
    <row r="4" spans="1:13" x14ac:dyDescent="0.35">
      <c r="C4" s="23" t="s">
        <v>75</v>
      </c>
      <c r="D4" s="59">
        <v>7878262151.5299997</v>
      </c>
      <c r="E4" s="59">
        <v>15940691056</v>
      </c>
      <c r="F4" s="59">
        <v>3114258480.23</v>
      </c>
      <c r="G4" s="59">
        <v>3923880870</v>
      </c>
      <c r="H4" s="59">
        <v>2822490416</v>
      </c>
      <c r="I4" s="59">
        <v>3907447996.9699998</v>
      </c>
      <c r="J4" s="59">
        <v>10946221221</v>
      </c>
      <c r="K4" s="59">
        <v>15591891261.99</v>
      </c>
      <c r="L4" s="59">
        <v>12656300780.65</v>
      </c>
      <c r="M4" s="25">
        <f t="shared" ref="M4:M11" si="0">SUM(D4:L4)</f>
        <v>76781444234.369995</v>
      </c>
    </row>
    <row r="5" spans="1:13" x14ac:dyDescent="0.35">
      <c r="C5" s="23" t="s">
        <v>55</v>
      </c>
      <c r="D5" s="59">
        <v>508601035.92000002</v>
      </c>
      <c r="E5" s="59">
        <v>3344998568</v>
      </c>
      <c r="F5" s="59">
        <v>1872901926</v>
      </c>
      <c r="G5" s="59">
        <v>1635286675</v>
      </c>
      <c r="H5" s="59">
        <v>2866714270</v>
      </c>
      <c r="I5" s="59">
        <v>1179238006</v>
      </c>
      <c r="J5" s="59">
        <v>2961383048</v>
      </c>
      <c r="K5" s="59">
        <v>4793063924</v>
      </c>
      <c r="L5" s="59">
        <v>5298031021</v>
      </c>
      <c r="M5" s="25">
        <f t="shared" si="0"/>
        <v>24460218473.919998</v>
      </c>
    </row>
    <row r="6" spans="1:13" x14ac:dyDescent="0.35">
      <c r="C6" s="23" t="s">
        <v>56</v>
      </c>
      <c r="D6" s="59">
        <v>101292258</v>
      </c>
      <c r="E6" s="59">
        <v>1351241541</v>
      </c>
      <c r="F6" s="59">
        <v>215655796</v>
      </c>
      <c r="G6" s="59">
        <v>1207432641</v>
      </c>
      <c r="H6" s="59">
        <v>1538698986</v>
      </c>
      <c r="I6" s="59">
        <v>623586412</v>
      </c>
      <c r="J6" s="59">
        <v>1510215233.3899999</v>
      </c>
      <c r="K6" s="59">
        <v>1351678049.8399999</v>
      </c>
      <c r="L6" s="59">
        <v>2197436777.8099999</v>
      </c>
      <c r="M6" s="25">
        <f t="shared" si="0"/>
        <v>10097237695.039999</v>
      </c>
    </row>
    <row r="7" spans="1:13" x14ac:dyDescent="0.35">
      <c r="C7" s="23" t="s">
        <v>57</v>
      </c>
      <c r="D7" s="59">
        <v>629755877</v>
      </c>
      <c r="E7" s="59">
        <v>6593959765</v>
      </c>
      <c r="F7" s="59">
        <v>2116411223.75</v>
      </c>
      <c r="G7" s="59">
        <v>5192293200.1000004</v>
      </c>
      <c r="H7" s="59">
        <v>9458670102</v>
      </c>
      <c r="I7" s="59">
        <v>3420954483.6399999</v>
      </c>
      <c r="J7" s="59">
        <v>9783749040</v>
      </c>
      <c r="K7" s="59">
        <v>12513996514</v>
      </c>
      <c r="L7" s="59">
        <v>19881410239.440002</v>
      </c>
      <c r="M7" s="25">
        <f t="shared" si="0"/>
        <v>69591200444.929993</v>
      </c>
    </row>
    <row r="8" spans="1:13" x14ac:dyDescent="0.35">
      <c r="C8" s="23" t="s">
        <v>58</v>
      </c>
      <c r="D8" s="59">
        <v>19647993888</v>
      </c>
      <c r="E8" s="59">
        <v>25291254518</v>
      </c>
      <c r="F8" s="59">
        <v>19139908241</v>
      </c>
      <c r="G8" s="59">
        <v>15737276060</v>
      </c>
      <c r="H8" s="59">
        <v>24180368512</v>
      </c>
      <c r="I8" s="59">
        <v>23066832575</v>
      </c>
      <c r="J8" s="59">
        <v>39791835040</v>
      </c>
      <c r="K8" s="59">
        <v>35703549947</v>
      </c>
      <c r="L8" s="59">
        <v>43156094801</v>
      </c>
      <c r="M8" s="25">
        <f t="shared" si="0"/>
        <v>245715113582</v>
      </c>
    </row>
    <row r="9" spans="1:13" x14ac:dyDescent="0.35">
      <c r="C9" s="23" t="s">
        <v>5</v>
      </c>
      <c r="D9" s="59">
        <v>2005333219.55</v>
      </c>
      <c r="E9" s="59">
        <v>13197033414</v>
      </c>
      <c r="F9" s="59">
        <v>2458932302.02</v>
      </c>
      <c r="G9" s="59">
        <v>9993028992.8999996</v>
      </c>
      <c r="H9" s="59">
        <v>9412825347</v>
      </c>
      <c r="I9" s="59">
        <v>4704328212.3899994</v>
      </c>
      <c r="J9" s="59">
        <v>7257006965.6100006</v>
      </c>
      <c r="K9" s="59">
        <v>9756533532.1700001</v>
      </c>
      <c r="L9" s="59">
        <v>10364790082.1</v>
      </c>
      <c r="M9" s="25">
        <f t="shared" si="0"/>
        <v>69149812067.740005</v>
      </c>
    </row>
    <row r="10" spans="1:13" x14ac:dyDescent="0.35">
      <c r="C10" s="23" t="s">
        <v>59</v>
      </c>
      <c r="D10" s="59">
        <v>2706976049</v>
      </c>
      <c r="E10" s="59">
        <v>174870591</v>
      </c>
      <c r="F10" s="59">
        <v>823569000</v>
      </c>
      <c r="G10" s="59">
        <v>252950195</v>
      </c>
      <c r="H10" s="59">
        <v>402864867</v>
      </c>
      <c r="I10" s="59">
        <v>745217550</v>
      </c>
      <c r="J10" s="59">
        <v>294257882</v>
      </c>
      <c r="K10" s="59">
        <v>1117072628</v>
      </c>
      <c r="L10" s="59">
        <v>236183806</v>
      </c>
      <c r="M10" s="25">
        <f t="shared" si="0"/>
        <v>6753962568</v>
      </c>
    </row>
    <row r="11" spans="1:13" x14ac:dyDescent="0.35">
      <c r="C11" s="23" t="s">
        <v>60</v>
      </c>
      <c r="D11" s="60">
        <v>6384000.0000038147</v>
      </c>
      <c r="E11" s="60">
        <v>25206701.999992371</v>
      </c>
      <c r="F11" s="60">
        <v>6214000</v>
      </c>
      <c r="G11" s="60">
        <v>0</v>
      </c>
      <c r="H11" s="60">
        <v>40563747</v>
      </c>
      <c r="I11" s="60">
        <v>20054628</v>
      </c>
      <c r="J11" s="60">
        <v>6663000</v>
      </c>
      <c r="K11" s="60">
        <v>33635000</v>
      </c>
      <c r="L11" s="60">
        <v>24777999.999984741</v>
      </c>
      <c r="M11" s="25">
        <f t="shared" si="0"/>
        <v>163499076.99998093</v>
      </c>
    </row>
    <row r="12" spans="1:13" x14ac:dyDescent="0.35">
      <c r="A12" s="22"/>
      <c r="B12" s="22"/>
      <c r="C12" s="23"/>
      <c r="D12" s="39">
        <f>SUM(D3:D11)</f>
        <v>33757517477</v>
      </c>
      <c r="E12" s="39">
        <f t="shared" ref="E12:M12" si="1">SUM(E3:E11)</f>
        <v>67909999999.999992</v>
      </c>
      <c r="F12" s="39">
        <f t="shared" si="1"/>
        <v>30002817562</v>
      </c>
      <c r="G12" s="39">
        <f t="shared" si="1"/>
        <v>43065000000</v>
      </c>
      <c r="H12" s="39">
        <f t="shared" si="1"/>
        <v>60025000000</v>
      </c>
      <c r="I12" s="39">
        <f t="shared" si="1"/>
        <v>37841184999</v>
      </c>
      <c r="J12" s="39">
        <f t="shared" si="1"/>
        <v>76600000000</v>
      </c>
      <c r="K12" s="39">
        <f t="shared" si="1"/>
        <v>85935000000</v>
      </c>
      <c r="L12" s="39">
        <f t="shared" si="1"/>
        <v>96590000000</v>
      </c>
      <c r="M12" s="39">
        <f t="shared" si="1"/>
        <v>531726520038</v>
      </c>
    </row>
    <row r="13" spans="1:13" x14ac:dyDescent="0.35">
      <c r="D13" s="31"/>
      <c r="E13" s="31"/>
      <c r="F13" s="31"/>
      <c r="G13" s="31"/>
      <c r="H13" s="31"/>
      <c r="I13" s="31"/>
      <c r="J13" s="31"/>
      <c r="K13" s="31"/>
      <c r="L13" s="31"/>
      <c r="M13" s="50"/>
    </row>
    <row r="14" spans="1:13" x14ac:dyDescent="0.35">
      <c r="D14" s="40"/>
      <c r="E14" s="40"/>
      <c r="F14" s="40"/>
      <c r="G14" s="40"/>
      <c r="H14" s="40"/>
      <c r="I14" s="40"/>
      <c r="J14" s="40"/>
      <c r="K14" s="40"/>
      <c r="L14" s="40"/>
      <c r="M14" s="50"/>
    </row>
    <row r="15" spans="1:13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x14ac:dyDescent="0.35"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4:13" x14ac:dyDescent="0.35"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4:13" x14ac:dyDescent="0.35"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4:13" x14ac:dyDescent="0.35"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4:13" x14ac:dyDescent="0.35"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4:13" x14ac:dyDescent="0.35"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4:13" x14ac:dyDescent="0.35"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4:13" x14ac:dyDescent="0.35"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4:13" x14ac:dyDescent="0.35">
      <c r="D24" s="31"/>
      <c r="E24" s="31"/>
      <c r="F24" s="31"/>
      <c r="G24" s="31"/>
      <c r="H24" s="31"/>
      <c r="I24" s="31"/>
      <c r="J24" s="31"/>
      <c r="K24" s="31"/>
      <c r="L24" s="31"/>
      <c r="M24" s="31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abSelected="1" topLeftCell="B1" workbookViewId="0">
      <selection activeCell="D12" sqref="D12:M12"/>
    </sheetView>
  </sheetViews>
  <sheetFormatPr defaultColWidth="9.1796875" defaultRowHeight="14.5" x14ac:dyDescent="0.35"/>
  <cols>
    <col min="1" max="1" width="18.1796875" style="20" bestFit="1" customWidth="1"/>
    <col min="2" max="2" width="9.1796875" style="20" customWidth="1"/>
    <col min="3" max="3" width="29.7265625" style="20" bestFit="1" customWidth="1"/>
    <col min="4" max="4" width="11" style="20" bestFit="1" customWidth="1"/>
    <col min="5" max="5" width="11.26953125" style="20" bestFit="1" customWidth="1"/>
    <col min="6" max="6" width="11" style="20" bestFit="1" customWidth="1"/>
    <col min="7" max="7" width="11" style="20" customWidth="1"/>
    <col min="8" max="8" width="11" style="20" bestFit="1" customWidth="1"/>
    <col min="9" max="11" width="11.26953125" style="20" bestFit="1" customWidth="1"/>
    <col min="12" max="12" width="11.7265625" style="34" customWidth="1"/>
    <col min="13" max="16384" width="9.1796875" style="34"/>
  </cols>
  <sheetData>
    <row r="1" spans="1:14" x14ac:dyDescent="0.35">
      <c r="A1" s="47" t="str">
        <f>'Fixed rate bond (Values)'!A1</f>
        <v>24 Feb 2023</v>
      </c>
      <c r="B1" s="33"/>
    </row>
    <row r="2" spans="1:14" x14ac:dyDescent="0.35">
      <c r="A2" s="22"/>
      <c r="B2" s="22"/>
      <c r="C2" s="23"/>
      <c r="D2" s="27" t="s">
        <v>61</v>
      </c>
      <c r="E2" s="27" t="s">
        <v>62</v>
      </c>
      <c r="F2" s="27" t="s">
        <v>63</v>
      </c>
      <c r="G2" s="27" t="s">
        <v>69</v>
      </c>
      <c r="H2" s="27" t="s">
        <v>64</v>
      </c>
      <c r="I2" s="27" t="s">
        <v>65</v>
      </c>
      <c r="J2" s="27" t="s">
        <v>66</v>
      </c>
      <c r="K2" s="27" t="s">
        <v>67</v>
      </c>
      <c r="L2" s="27" t="s">
        <v>68</v>
      </c>
      <c r="M2" s="51" t="s">
        <v>74</v>
      </c>
    </row>
    <row r="3" spans="1:14" x14ac:dyDescent="0.35">
      <c r="C3" s="23" t="s">
        <v>54</v>
      </c>
      <c r="D3" s="61">
        <v>8.0846880457352294E-3</v>
      </c>
      <c r="E3" s="61">
        <v>2.9314443307318513E-2</v>
      </c>
      <c r="F3" s="61">
        <v>8.4980883036441003E-3</v>
      </c>
      <c r="G3" s="61">
        <v>0.11895626067572275</v>
      </c>
      <c r="H3" s="61">
        <v>0.1549654935943357</v>
      </c>
      <c r="I3" s="61">
        <v>4.5856157782740055E-3</v>
      </c>
      <c r="J3" s="61">
        <v>5.2854681070496082E-2</v>
      </c>
      <c r="K3" s="61">
        <v>5.9039729365217897E-2</v>
      </c>
      <c r="L3" s="61">
        <v>2.8729418076405423E-2</v>
      </c>
      <c r="M3" s="61">
        <v>5.4565703988069848E-2</v>
      </c>
      <c r="N3" s="62"/>
    </row>
    <row r="4" spans="1:14" x14ac:dyDescent="0.35">
      <c r="C4" s="23" t="s">
        <v>75</v>
      </c>
      <c r="D4" s="61">
        <v>0.2333780070438442</v>
      </c>
      <c r="E4" s="61">
        <v>0.23473260279782068</v>
      </c>
      <c r="F4" s="61">
        <v>0.10379886734952376</v>
      </c>
      <c r="G4" s="61">
        <v>9.1115311041448974E-2</v>
      </c>
      <c r="H4" s="61">
        <v>4.7021914468971263E-2</v>
      </c>
      <c r="I4" s="61">
        <v>0.10325913411731845</v>
      </c>
      <c r="J4" s="61">
        <v>0.14290106032637076</v>
      </c>
      <c r="K4" s="61">
        <v>0.18143819470518416</v>
      </c>
      <c r="L4" s="61">
        <v>0.13103117072833625</v>
      </c>
      <c r="M4" s="61">
        <v>0.14440025340260024</v>
      </c>
      <c r="N4" s="62"/>
    </row>
    <row r="5" spans="1:14" x14ac:dyDescent="0.35">
      <c r="C5" s="23" t="s">
        <v>55</v>
      </c>
      <c r="D5" s="61">
        <v>1.5066304454008653E-2</v>
      </c>
      <c r="E5" s="61">
        <v>4.9256347636577831E-2</v>
      </c>
      <c r="F5" s="61">
        <v>6.2424201398075349E-2</v>
      </c>
      <c r="G5" s="61">
        <v>3.7972522349936144E-2</v>
      </c>
      <c r="H5" s="61">
        <v>4.7758671720116615E-2</v>
      </c>
      <c r="I5" s="61">
        <v>3.1162819188436167E-2</v>
      </c>
      <c r="J5" s="61">
        <v>3.8660353107049607E-2</v>
      </c>
      <c r="K5" s="61">
        <v>5.5775457310758128E-2</v>
      </c>
      <c r="L5" s="61">
        <v>5.4850719753597683E-2</v>
      </c>
      <c r="M5" s="61">
        <v>4.6001501809937825E-2</v>
      </c>
      <c r="N5" s="62"/>
    </row>
    <row r="6" spans="1:14" x14ac:dyDescent="0.35">
      <c r="C6" s="23" t="s">
        <v>56</v>
      </c>
      <c r="D6" s="61">
        <v>3.000583738689121E-3</v>
      </c>
      <c r="E6" s="61">
        <v>1.9897534103961126E-2</v>
      </c>
      <c r="F6" s="61">
        <v>7.1878514594288755E-3</v>
      </c>
      <c r="G6" s="61">
        <v>2.8037446673632879E-2</v>
      </c>
      <c r="H6" s="61">
        <v>2.5634302140774678E-2</v>
      </c>
      <c r="I6" s="61">
        <v>1.6479040284189807E-2</v>
      </c>
      <c r="J6" s="61">
        <v>1.9715603569060051E-2</v>
      </c>
      <c r="K6" s="61">
        <v>1.5729074880316517E-2</v>
      </c>
      <c r="L6" s="61">
        <v>2.2750147818718293E-2</v>
      </c>
      <c r="M6" s="61">
        <v>1.8989531863707675E-2</v>
      </c>
      <c r="N6" s="62"/>
    </row>
    <row r="7" spans="1:14" x14ac:dyDescent="0.35">
      <c r="C7" s="23" t="s">
        <v>57</v>
      </c>
      <c r="D7" s="61">
        <v>1.8655278114839795E-2</v>
      </c>
      <c r="E7" s="61">
        <v>9.7098509276984254E-2</v>
      </c>
      <c r="F7" s="61">
        <v>7.0540415725172959E-2</v>
      </c>
      <c r="G7" s="61">
        <v>0.12056874956693371</v>
      </c>
      <c r="H7" s="61">
        <v>0.15757884384839649</v>
      </c>
      <c r="I7" s="61">
        <v>9.0402942818265414E-2</v>
      </c>
      <c r="J7" s="61">
        <v>0.12772518328981725</v>
      </c>
      <c r="K7" s="61">
        <v>0.14562165024727991</v>
      </c>
      <c r="L7" s="61">
        <v>0.20583300796604206</v>
      </c>
      <c r="M7" s="61">
        <v>0.13087780620751555</v>
      </c>
      <c r="N7" s="62"/>
    </row>
    <row r="8" spans="1:14" x14ac:dyDescent="0.35">
      <c r="C8" s="23" t="s">
        <v>58</v>
      </c>
      <c r="D8" s="61">
        <v>0.58203313977062332</v>
      </c>
      <c r="E8" s="61">
        <v>0.37242312646149317</v>
      </c>
      <c r="F8" s="61">
        <v>0.63793702712913225</v>
      </c>
      <c r="G8" s="61">
        <v>0.36543076883780334</v>
      </c>
      <c r="H8" s="61">
        <v>0.40283829257809245</v>
      </c>
      <c r="I8" s="61">
        <v>0.60956950940118737</v>
      </c>
      <c r="J8" s="61">
        <v>0.51947565326370759</v>
      </c>
      <c r="K8" s="61">
        <v>0.41547157673823237</v>
      </c>
      <c r="L8" s="61">
        <v>0.44679671602650378</v>
      </c>
      <c r="M8" s="61">
        <v>0.46210806556054396</v>
      </c>
      <c r="N8" s="62"/>
    </row>
    <row r="9" spans="1:14" x14ac:dyDescent="0.35">
      <c r="C9" s="23" t="s">
        <v>5</v>
      </c>
      <c r="D9" s="61">
        <v>5.9404048917883048E-2</v>
      </c>
      <c r="E9" s="61">
        <v>0.19433122388455309</v>
      </c>
      <c r="F9" s="61">
        <v>8.1956712796679307E-2</v>
      </c>
      <c r="G9" s="61">
        <v>0.23204525700452802</v>
      </c>
      <c r="H9" s="61">
        <v>0.15681508283215326</v>
      </c>
      <c r="I9" s="61">
        <v>0.12431767695737639</v>
      </c>
      <c r="J9" s="61">
        <v>9.4738994329112286E-2</v>
      </c>
      <c r="K9" s="61">
        <v>0.11353387481433642</v>
      </c>
      <c r="L9" s="61">
        <v>0.10730707197535977</v>
      </c>
      <c r="M9" s="61">
        <v>0.13004770208339089</v>
      </c>
      <c r="N9" s="62"/>
    </row>
    <row r="10" spans="1:14" x14ac:dyDescent="0.35">
      <c r="C10" s="23" t="s">
        <v>59</v>
      </c>
      <c r="D10" s="61">
        <v>8.0188836481958223E-2</v>
      </c>
      <c r="E10" s="61">
        <v>2.5750344720954208E-3</v>
      </c>
      <c r="F10" s="61">
        <v>2.7449721956883458E-2</v>
      </c>
      <c r="G10" s="61">
        <v>5.873683849994195E-3</v>
      </c>
      <c r="H10" s="61">
        <v>6.7116179425239482E-3</v>
      </c>
      <c r="I10" s="61">
        <v>1.9693293167740208E-2</v>
      </c>
      <c r="J10" s="61">
        <v>3.8414867101827675E-3</v>
      </c>
      <c r="K10" s="61">
        <v>1.299904146156979E-2</v>
      </c>
      <c r="L10" s="61">
        <v>2.4452200641888393E-3</v>
      </c>
      <c r="M10" s="61">
        <v>1.2701947925255497E-2</v>
      </c>
      <c r="N10" s="62"/>
    </row>
    <row r="11" spans="1:14" x14ac:dyDescent="0.35">
      <c r="C11" s="23" t="s">
        <v>60</v>
      </c>
      <c r="D11" s="61">
        <v>1.8911343241852495E-4</v>
      </c>
      <c r="E11" s="61">
        <v>3.7117805919588241E-4</v>
      </c>
      <c r="F11" s="61">
        <v>2.0711388145993088E-4</v>
      </c>
      <c r="G11" s="61">
        <v>0</v>
      </c>
      <c r="H11" s="61">
        <v>6.7578087463556846E-4</v>
      </c>
      <c r="I11" s="61">
        <v>5.2996828721219936E-4</v>
      </c>
      <c r="J11" s="61">
        <v>8.6984334203655357E-5</v>
      </c>
      <c r="K11" s="61">
        <v>3.9140047710478848E-4</v>
      </c>
      <c r="L11" s="61">
        <v>2.5652759084775591E-4</v>
      </c>
      <c r="M11" s="61">
        <v>3.0748715897844706E-4</v>
      </c>
      <c r="N11" s="62"/>
    </row>
    <row r="12" spans="1:14" x14ac:dyDescent="0.35">
      <c r="C12" s="28"/>
      <c r="D12" s="26">
        <f>SUM(D3:D11)</f>
        <v>1</v>
      </c>
      <c r="E12" s="26">
        <f t="shared" ref="E12:M12" si="0">SUM(E3:E11)</f>
        <v>0.99999999999999989</v>
      </c>
      <c r="F12" s="26">
        <f t="shared" si="0"/>
        <v>0.99999999999999989</v>
      </c>
      <c r="G12" s="26">
        <f t="shared" si="0"/>
        <v>1</v>
      </c>
      <c r="H12" s="26">
        <f t="shared" si="0"/>
        <v>1</v>
      </c>
      <c r="I12" s="26">
        <f t="shared" si="0"/>
        <v>0.99999999999999989</v>
      </c>
      <c r="J12" s="26">
        <f t="shared" si="0"/>
        <v>1</v>
      </c>
      <c r="K12" s="26">
        <f t="shared" si="0"/>
        <v>1</v>
      </c>
      <c r="L12" s="26">
        <f t="shared" si="0"/>
        <v>0.99999999999999967</v>
      </c>
      <c r="M12" s="26">
        <f t="shared" si="0"/>
        <v>0.99999999999999989</v>
      </c>
    </row>
    <row r="13" spans="1:14" x14ac:dyDescent="0.35">
      <c r="D13" s="36"/>
      <c r="E13" s="36"/>
      <c r="F13" s="36"/>
      <c r="G13" s="36"/>
      <c r="H13" s="36"/>
      <c r="I13" s="36"/>
      <c r="J13" s="36"/>
      <c r="K13" s="36"/>
    </row>
    <row r="17" spans="3:11" x14ac:dyDescent="0.35">
      <c r="C17" s="34"/>
      <c r="D17" s="34"/>
      <c r="E17" s="34"/>
      <c r="F17" s="34"/>
      <c r="G17" s="34"/>
      <c r="H17" s="34"/>
      <c r="I17" s="34"/>
      <c r="J17" s="34"/>
      <c r="K17" s="34"/>
    </row>
    <row r="18" spans="3:11" x14ac:dyDescent="0.35">
      <c r="C18" s="34"/>
      <c r="D18" s="34"/>
      <c r="E18" s="34"/>
      <c r="F18" s="34"/>
      <c r="G18" s="34"/>
      <c r="H18" s="34"/>
      <c r="I18" s="34"/>
      <c r="J18" s="34"/>
      <c r="K18" s="34"/>
    </row>
    <row r="19" spans="3:11" x14ac:dyDescent="0.35">
      <c r="C19" s="34"/>
      <c r="D19" s="34"/>
      <c r="E19" s="34"/>
      <c r="F19" s="34"/>
      <c r="G19" s="34"/>
      <c r="H19" s="34"/>
      <c r="I19" s="34"/>
      <c r="J19" s="34"/>
      <c r="K19" s="34"/>
    </row>
    <row r="20" spans="3:11" x14ac:dyDescent="0.35">
      <c r="C20" s="34"/>
      <c r="D20" s="34"/>
      <c r="E20" s="34"/>
      <c r="F20" s="34"/>
      <c r="G20" s="34"/>
      <c r="H20" s="34"/>
      <c r="I20" s="34"/>
      <c r="J20" s="34"/>
      <c r="K20" s="34"/>
    </row>
    <row r="21" spans="3:11" x14ac:dyDescent="0.35">
      <c r="C21" s="34"/>
      <c r="D21" s="34"/>
      <c r="E21" s="34"/>
      <c r="F21" s="34"/>
      <c r="G21" s="34"/>
      <c r="H21" s="34"/>
      <c r="I21" s="34"/>
      <c r="J21" s="34"/>
      <c r="K21" s="34"/>
    </row>
    <row r="22" spans="3:11" x14ac:dyDescent="0.35">
      <c r="C22" s="34"/>
      <c r="D22" s="34"/>
      <c r="E22" s="34"/>
      <c r="F22" s="34"/>
      <c r="G22" s="34"/>
      <c r="H22" s="34"/>
      <c r="I22" s="34"/>
      <c r="J22" s="34"/>
      <c r="K22" s="34"/>
    </row>
    <row r="23" spans="3:11" x14ac:dyDescent="0.35">
      <c r="C23" s="34"/>
      <c r="D23" s="34"/>
      <c r="E23" s="34"/>
      <c r="F23" s="34"/>
      <c r="G23" s="34"/>
      <c r="H23" s="34"/>
      <c r="I23" s="34"/>
      <c r="J23" s="34"/>
      <c r="K23" s="34"/>
    </row>
    <row r="24" spans="3:11" x14ac:dyDescent="0.35">
      <c r="C24" s="34"/>
      <c r="D24" s="34"/>
      <c r="E24" s="34"/>
      <c r="F24" s="34"/>
      <c r="G24" s="34"/>
      <c r="H24" s="34"/>
      <c r="I24" s="34"/>
      <c r="J24" s="34"/>
      <c r="K24" s="34"/>
    </row>
    <row r="25" spans="3:11" x14ac:dyDescent="0.35">
      <c r="C25" s="34"/>
      <c r="D25" s="34"/>
      <c r="E25" s="34"/>
      <c r="F25" s="34"/>
      <c r="G25" s="34"/>
      <c r="H25" s="34"/>
      <c r="I25" s="34"/>
      <c r="J25" s="34"/>
      <c r="K25" s="34"/>
    </row>
    <row r="26" spans="3:11" x14ac:dyDescent="0.35">
      <c r="C26" s="34"/>
      <c r="D26" s="34"/>
      <c r="E26" s="34"/>
      <c r="F26" s="34"/>
      <c r="G26" s="34"/>
      <c r="H26" s="34"/>
      <c r="I26" s="34"/>
      <c r="J26" s="34"/>
      <c r="K26" s="34"/>
    </row>
    <row r="27" spans="3:11" x14ac:dyDescent="0.35">
      <c r="C27" s="34"/>
      <c r="D27" s="34"/>
      <c r="E27" s="34"/>
      <c r="F27" s="34"/>
      <c r="G27" s="34"/>
      <c r="H27" s="34"/>
      <c r="I27" s="34"/>
      <c r="J27" s="34"/>
      <c r="K27" s="3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12" sqref="F12"/>
    </sheetView>
  </sheetViews>
  <sheetFormatPr defaultColWidth="9.1796875" defaultRowHeight="14.5" x14ac:dyDescent="0.35"/>
  <cols>
    <col min="1" max="1" width="18.1796875" style="20" bestFit="1" customWidth="1"/>
    <col min="2" max="2" width="29.7265625" style="20" bestFit="1" customWidth="1"/>
    <col min="3" max="4" width="15.54296875" style="20" bestFit="1" customWidth="1"/>
    <col min="5" max="5" width="11" style="20" bestFit="1" customWidth="1"/>
    <col min="6" max="6" width="14.6328125" style="20" bestFit="1" customWidth="1"/>
    <col min="7" max="7" width="11" style="20" bestFit="1" customWidth="1"/>
    <col min="8" max="10" width="11.26953125" style="20" bestFit="1" customWidth="1"/>
    <col min="11" max="11" width="11.7265625" style="34" customWidth="1"/>
    <col min="12" max="16384" width="9.1796875" style="34"/>
  </cols>
  <sheetData>
    <row r="1" spans="1:13" x14ac:dyDescent="0.35">
      <c r="A1" s="47" t="str">
        <f>'Fixed rate bond (Values)'!A1</f>
        <v>24 Feb 2023</v>
      </c>
    </row>
    <row r="2" spans="1:13" x14ac:dyDescent="0.35">
      <c r="A2" s="22"/>
      <c r="B2" s="23" t="s">
        <v>40</v>
      </c>
      <c r="C2" s="23" t="s">
        <v>79</v>
      </c>
      <c r="D2" s="65" t="s">
        <v>53</v>
      </c>
      <c r="K2" s="20"/>
      <c r="L2" s="20"/>
    </row>
    <row r="3" spans="1:13" x14ac:dyDescent="0.35">
      <c r="B3" s="23" t="s">
        <v>54</v>
      </c>
      <c r="C3" s="59">
        <v>491814011</v>
      </c>
      <c r="D3" s="58">
        <v>491814011</v>
      </c>
      <c r="K3" s="20"/>
      <c r="L3" s="20"/>
      <c r="M3" s="62"/>
    </row>
    <row r="4" spans="1:13" x14ac:dyDescent="0.35">
      <c r="B4" s="23" t="s">
        <v>75</v>
      </c>
      <c r="C4" s="59">
        <v>43162800000</v>
      </c>
      <c r="D4" s="58">
        <v>43162800000</v>
      </c>
      <c r="K4" s="20"/>
      <c r="L4" s="20"/>
      <c r="M4" s="62"/>
    </row>
    <row r="5" spans="1:13" x14ac:dyDescent="0.35">
      <c r="B5" s="23" t="s">
        <v>55</v>
      </c>
      <c r="C5" s="59">
        <v>86515813</v>
      </c>
      <c r="D5" s="58">
        <v>86515813</v>
      </c>
      <c r="K5" s="20"/>
      <c r="L5" s="20"/>
      <c r="M5" s="62"/>
    </row>
    <row r="6" spans="1:13" x14ac:dyDescent="0.35">
      <c r="B6" s="23" t="s">
        <v>56</v>
      </c>
      <c r="C6" s="59">
        <v>1153500000</v>
      </c>
      <c r="D6" s="58">
        <v>1153500000</v>
      </c>
      <c r="K6" s="20"/>
      <c r="L6" s="20"/>
      <c r="M6" s="62"/>
    </row>
    <row r="7" spans="1:13" x14ac:dyDescent="0.35">
      <c r="B7" s="23" t="s">
        <v>57</v>
      </c>
      <c r="C7" s="59">
        <v>49700000</v>
      </c>
      <c r="D7" s="58">
        <v>49700000</v>
      </c>
      <c r="K7" s="20"/>
      <c r="L7" s="20"/>
      <c r="M7" s="62"/>
    </row>
    <row r="8" spans="1:13" x14ac:dyDescent="0.35">
      <c r="B8" s="23" t="s">
        <v>58</v>
      </c>
      <c r="C8" s="59">
        <v>650000</v>
      </c>
      <c r="D8" s="58">
        <v>650000</v>
      </c>
      <c r="K8" s="20"/>
      <c r="L8" s="20"/>
      <c r="M8" s="62"/>
    </row>
    <row r="9" spans="1:13" x14ac:dyDescent="0.35">
      <c r="B9" s="23" t="s">
        <v>5</v>
      </c>
      <c r="C9" s="59">
        <v>6114521573</v>
      </c>
      <c r="D9" s="58">
        <v>6114521573</v>
      </c>
      <c r="K9" s="20"/>
      <c r="L9" s="20"/>
      <c r="M9" s="62"/>
    </row>
    <row r="10" spans="1:13" x14ac:dyDescent="0.35">
      <c r="B10" s="23" t="s">
        <v>59</v>
      </c>
      <c r="C10" s="59">
        <v>165498603</v>
      </c>
      <c r="D10" s="58">
        <v>165498603</v>
      </c>
      <c r="K10" s="20"/>
      <c r="L10" s="20"/>
      <c r="M10" s="62"/>
    </row>
    <row r="11" spans="1:13" x14ac:dyDescent="0.35">
      <c r="B11" s="24" t="s">
        <v>60</v>
      </c>
      <c r="C11" s="60">
        <v>0</v>
      </c>
      <c r="D11" s="58">
        <v>0</v>
      </c>
      <c r="K11" s="20"/>
      <c r="L11" s="20"/>
      <c r="M11" s="62"/>
    </row>
    <row r="12" spans="1:13" x14ac:dyDescent="0.35">
      <c r="B12" s="24"/>
      <c r="C12" s="25">
        <f>SUM(C3:C11)</f>
        <v>51225000000</v>
      </c>
      <c r="D12" s="25">
        <f>SUM(D3:D11)</f>
        <v>51225000000</v>
      </c>
      <c r="F12" s="31"/>
      <c r="K12" s="20"/>
      <c r="L12" s="20"/>
    </row>
    <row r="13" spans="1:13" x14ac:dyDescent="0.35">
      <c r="C13" s="36"/>
      <c r="D13" s="36"/>
      <c r="K13" s="20"/>
      <c r="L13" s="20"/>
    </row>
    <row r="17" spans="2:10" x14ac:dyDescent="0.35">
      <c r="B17" s="34"/>
      <c r="C17" s="34"/>
      <c r="D17" s="34"/>
      <c r="E17" s="34"/>
      <c r="F17" s="34"/>
      <c r="G17" s="34"/>
      <c r="H17" s="34"/>
      <c r="I17" s="34"/>
      <c r="J17" s="34"/>
    </row>
    <row r="18" spans="2:10" x14ac:dyDescent="0.35">
      <c r="B18" s="34"/>
      <c r="C18" s="34"/>
      <c r="D18" s="34"/>
      <c r="E18" s="34"/>
      <c r="F18" s="34"/>
      <c r="G18" s="34"/>
      <c r="H18" s="34"/>
      <c r="I18" s="34"/>
      <c r="J18" s="34"/>
    </row>
    <row r="19" spans="2:10" x14ac:dyDescent="0.35">
      <c r="B19" s="34"/>
      <c r="C19" s="34"/>
      <c r="D19" s="34"/>
      <c r="E19" s="34"/>
      <c r="F19" s="34"/>
      <c r="G19" s="34"/>
      <c r="H19" s="34"/>
      <c r="I19" s="34"/>
      <c r="J19" s="34"/>
    </row>
    <row r="20" spans="2:10" x14ac:dyDescent="0.35">
      <c r="B20" s="34"/>
      <c r="C20" s="34"/>
      <c r="D20" s="34"/>
      <c r="E20" s="34"/>
      <c r="F20" s="34"/>
      <c r="G20" s="34"/>
      <c r="H20" s="34"/>
      <c r="I20" s="34"/>
      <c r="J20" s="34"/>
    </row>
    <row r="21" spans="2:10" x14ac:dyDescent="0.35">
      <c r="B21" s="34"/>
      <c r="C21" s="34"/>
      <c r="D21" s="34"/>
      <c r="E21" s="34"/>
      <c r="F21" s="34"/>
      <c r="G21" s="34"/>
      <c r="H21" s="34"/>
      <c r="I21" s="34"/>
      <c r="J21" s="34"/>
    </row>
    <row r="22" spans="2:10" x14ac:dyDescent="0.35">
      <c r="B22" s="34"/>
      <c r="C22" s="34"/>
      <c r="D22" s="34"/>
      <c r="E22" s="34"/>
      <c r="F22" s="34"/>
      <c r="G22" s="34"/>
      <c r="H22" s="34"/>
      <c r="I22" s="34"/>
      <c r="J22" s="34"/>
    </row>
    <row r="23" spans="2:10" x14ac:dyDescent="0.35">
      <c r="B23" s="34"/>
      <c r="C23" s="34"/>
      <c r="D23" s="34"/>
      <c r="E23" s="34"/>
      <c r="F23" s="34"/>
      <c r="G23" s="34"/>
      <c r="H23" s="34"/>
      <c r="I23" s="34"/>
      <c r="J23" s="34"/>
    </row>
    <row r="24" spans="2:10" x14ac:dyDescent="0.35">
      <c r="B24" s="34"/>
      <c r="C24" s="34"/>
      <c r="D24" s="34"/>
      <c r="E24" s="34"/>
      <c r="F24" s="34"/>
      <c r="G24" s="34"/>
      <c r="H24" s="34"/>
      <c r="I24" s="34"/>
      <c r="J24" s="34"/>
    </row>
    <row r="25" spans="2:10" x14ac:dyDescent="0.35">
      <c r="B25" s="34"/>
      <c r="C25" s="34"/>
      <c r="D25" s="34"/>
      <c r="E25" s="34"/>
      <c r="F25" s="34"/>
      <c r="G25" s="34"/>
      <c r="H25" s="34"/>
      <c r="I25" s="34"/>
      <c r="J25" s="34"/>
    </row>
    <row r="26" spans="2:10" x14ac:dyDescent="0.35">
      <c r="B26" s="34"/>
      <c r="C26" s="34"/>
      <c r="D26" s="34"/>
      <c r="E26" s="34"/>
      <c r="F26" s="34"/>
      <c r="G26" s="34"/>
      <c r="H26" s="34"/>
      <c r="I26" s="34"/>
      <c r="J26" s="34"/>
    </row>
    <row r="27" spans="2:10" x14ac:dyDescent="0.35">
      <c r="B27" s="34"/>
      <c r="C27" s="34"/>
      <c r="D27" s="34"/>
      <c r="E27" s="34"/>
      <c r="F27" s="34"/>
      <c r="G27" s="34"/>
      <c r="H27" s="34"/>
      <c r="I27" s="34"/>
      <c r="J27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>
      <selection activeCell="G19" sqref="G19"/>
    </sheetView>
  </sheetViews>
  <sheetFormatPr defaultRowHeight="12.5" x14ac:dyDescent="0.25"/>
  <cols>
    <col min="1" max="1" width="12.1796875" style="20" bestFit="1" customWidth="1"/>
    <col min="2" max="2" width="28" style="20" bestFit="1" customWidth="1"/>
    <col min="3" max="3" width="13.26953125" style="20" bestFit="1" customWidth="1"/>
    <col min="4" max="4" width="11.81640625" style="20" bestFit="1" customWidth="1"/>
    <col min="5" max="16384" width="8.7265625" style="20"/>
  </cols>
  <sheetData>
    <row r="1" spans="1:4" ht="14" x14ac:dyDescent="0.3">
      <c r="A1" s="47" t="str">
        <f>'Fixed rate bond (Values)'!A1</f>
        <v>24 Feb 2023</v>
      </c>
    </row>
    <row r="3" spans="1:4" ht="13" x14ac:dyDescent="0.3">
      <c r="B3" s="23" t="s">
        <v>40</v>
      </c>
      <c r="C3" s="27" t="s">
        <v>80</v>
      </c>
      <c r="D3" s="51" t="s">
        <v>74</v>
      </c>
    </row>
    <row r="4" spans="1:4" ht="13" x14ac:dyDescent="0.3">
      <c r="B4" s="23" t="s">
        <v>54</v>
      </c>
      <c r="C4" s="61">
        <v>9.6010543875061014E-3</v>
      </c>
      <c r="D4" s="61">
        <v>9.6010543875061014E-3</v>
      </c>
    </row>
    <row r="5" spans="1:4" ht="13" x14ac:dyDescent="0.3">
      <c r="B5" s="23" t="s">
        <v>75</v>
      </c>
      <c r="C5" s="61">
        <v>0.84261200585651541</v>
      </c>
      <c r="D5" s="61">
        <v>0.84261200585651541</v>
      </c>
    </row>
    <row r="6" spans="1:4" ht="13" x14ac:dyDescent="0.3">
      <c r="B6" s="23" t="s">
        <v>55</v>
      </c>
      <c r="C6" s="61">
        <v>1.6889372962420692E-3</v>
      </c>
      <c r="D6" s="61">
        <v>1.6889372962420692E-3</v>
      </c>
    </row>
    <row r="7" spans="1:4" ht="13" x14ac:dyDescent="0.3">
      <c r="B7" s="23" t="s">
        <v>56</v>
      </c>
      <c r="C7" s="61">
        <v>2.2518301610541729E-2</v>
      </c>
      <c r="D7" s="61">
        <v>2.2518301610541729E-2</v>
      </c>
    </row>
    <row r="8" spans="1:4" ht="13" x14ac:dyDescent="0.3">
      <c r="B8" s="23" t="s">
        <v>57</v>
      </c>
      <c r="C8" s="61">
        <v>9.7022938018545633E-4</v>
      </c>
      <c r="D8" s="61">
        <v>9.7022938018545633E-4</v>
      </c>
    </row>
    <row r="9" spans="1:4" ht="13" x14ac:dyDescent="0.3">
      <c r="B9" s="23" t="s">
        <v>58</v>
      </c>
      <c r="C9" s="61">
        <v>1.2689116642264518E-5</v>
      </c>
      <c r="D9" s="61">
        <v>1.2689116642264518E-5</v>
      </c>
    </row>
    <row r="10" spans="1:4" ht="13" x14ac:dyDescent="0.3">
      <c r="B10" s="23" t="s">
        <v>5</v>
      </c>
      <c r="C10" s="61">
        <v>0.11936596530990727</v>
      </c>
      <c r="D10" s="61">
        <v>0.11936596530990727</v>
      </c>
    </row>
    <row r="11" spans="1:4" ht="13" x14ac:dyDescent="0.3">
      <c r="B11" s="23" t="s">
        <v>59</v>
      </c>
      <c r="C11" s="61">
        <v>3.2308170424597367E-3</v>
      </c>
      <c r="D11" s="61">
        <v>3.2308170424597367E-3</v>
      </c>
    </row>
    <row r="12" spans="1:4" ht="13" x14ac:dyDescent="0.3">
      <c r="B12" s="23" t="s">
        <v>60</v>
      </c>
      <c r="C12" s="61">
        <v>0</v>
      </c>
      <c r="D12" s="61">
        <v>0</v>
      </c>
    </row>
    <row r="13" spans="1:4" ht="13" x14ac:dyDescent="0.3">
      <c r="B13" s="28"/>
      <c r="C13" s="26">
        <v>1</v>
      </c>
      <c r="D13" s="26"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2023-03-07T06:52:42Z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