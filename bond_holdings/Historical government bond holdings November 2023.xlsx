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13_ncr:1_{AFF9467E-A0A2-43C8-8A8E-35BDF07EE0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7" l="1"/>
  <c r="E13" i="7"/>
  <c r="C13" i="7"/>
  <c r="E4" i="6"/>
  <c r="E5" i="6"/>
  <c r="E6" i="6"/>
  <c r="E7" i="6"/>
  <c r="E8" i="6"/>
  <c r="E9" i="6"/>
  <c r="E10" i="6"/>
  <c r="E11" i="6"/>
  <c r="E3" i="6"/>
  <c r="E12" i="6" s="1"/>
  <c r="D12" i="6"/>
  <c r="C12" i="6"/>
  <c r="O4" i="4"/>
  <c r="O5" i="4"/>
  <c r="O6" i="4"/>
  <c r="O7" i="4"/>
  <c r="O8" i="4"/>
  <c r="O9" i="4"/>
  <c r="O10" i="4"/>
  <c r="O11" i="4"/>
  <c r="O3" i="4"/>
  <c r="D12" i="4"/>
  <c r="E12" i="4"/>
  <c r="F12" i="4"/>
  <c r="G12" i="4"/>
  <c r="H12" i="4"/>
  <c r="I12" i="4"/>
  <c r="J12" i="4"/>
  <c r="K12" i="4"/>
  <c r="L12" i="4"/>
  <c r="M12" i="4"/>
  <c r="N12" i="4"/>
  <c r="C12" i="4"/>
  <c r="D12" i="3"/>
  <c r="E12" i="3"/>
  <c r="F12" i="3"/>
  <c r="G12" i="3"/>
  <c r="H12" i="3"/>
  <c r="I12" i="3"/>
  <c r="J12" i="3"/>
  <c r="K12" i="3"/>
  <c r="L12" i="3"/>
  <c r="M12" i="3"/>
  <c r="N12" i="3"/>
  <c r="O12" i="3"/>
  <c r="C12" i="3"/>
  <c r="O4" i="2"/>
  <c r="O5" i="2"/>
  <c r="O6" i="2"/>
  <c r="O7" i="2"/>
  <c r="O8" i="2"/>
  <c r="O9" i="2"/>
  <c r="O10" i="2"/>
  <c r="O11" i="2"/>
  <c r="O3" i="2"/>
  <c r="D12" i="2"/>
  <c r="E12" i="2"/>
  <c r="F12" i="2"/>
  <c r="G12" i="2"/>
  <c r="H12" i="2"/>
  <c r="I12" i="2"/>
  <c r="J12" i="2"/>
  <c r="K12" i="2"/>
  <c r="L12" i="2"/>
  <c r="M12" i="2"/>
  <c r="N12" i="2"/>
  <c r="C12" i="2"/>
  <c r="A1" i="4"/>
  <c r="A1" i="5"/>
  <c r="A1" i="6"/>
  <c r="A1" i="7"/>
  <c r="A1" i="3"/>
  <c r="O12" i="4" l="1"/>
  <c r="O12" i="2"/>
</calcChain>
</file>

<file path=xl/sharedStrings.xml><?xml version="1.0" encoding="utf-8"?>
<sst xmlns="http://schemas.openxmlformats.org/spreadsheetml/2006/main" count="295" uniqueCount="86">
  <si>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</si>
  <si>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</si>
  <si>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</si>
  <si>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</si>
  <si>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</si>
  <si>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</si>
  <si>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</si>
  <si>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</si>
  <si>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</si>
  <si>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</si>
  <si>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</si>
  <si>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</si>
  <si>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</si>
  <si>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</si>
  <si>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</si>
  <si>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</si>
  <si>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</si>
  <si>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</si>
  <si>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</si>
  <si>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</si>
  <si>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</si>
  <si>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</si>
  <si>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</si>
  <si>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</si>
  <si>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</si>
  <si>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</si>
  <si>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</si>
  <si>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</si>
  <si>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</si>
  <si>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</si>
  <si>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</si>
  <si>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</si>
  <si>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</si>
  <si>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</si>
  <si>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</si>
  <si>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</si>
  <si>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</si>
  <si>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</si>
  <si>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</si>
  <si>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</si>
  <si>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</si>
  <si>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</si>
  <si>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</si>
  <si>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</si>
  <si>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</si>
  <si>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</si>
  <si>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</si>
  <si>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</si>
  <si>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</si>
  <si>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</si>
  <si>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</si>
  <si>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</si>
  <si>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</si>
  <si>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</si>
  <si>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</si>
  <si>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</si>
  <si>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</si>
  <si>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</si>
  <si>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</si>
  <si>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</si>
  <si>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R197 (2023)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</si>
  <si>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</si>
  <si>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</si>
  <si>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</si>
  <si>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</si>
  <si>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</si>
  <si>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</si>
  <si>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</si>
  <si>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</si>
  <si>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</si>
  <si>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</si>
  <si>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</si>
  <si>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</si>
  <si>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</si>
  <si>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</si>
  <si>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</si>
  <si>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</si>
  <si>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</si>
  <si>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</si>
  <si>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</si>
  <si>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</si>
  <si>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</si>
  <si>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</si>
  <si>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</si>
  <si>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</si>
  <si>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24 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</si>
</sst>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0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"/>
  <sheetViews>
    <sheetView tabSelected="1" workbookViewId="0">
      <pane ySplit="1" topLeftCell="A145" activePane="bottomLeft" state="frozen"/>
      <selection pane="bottomLeft" activeCell="I155" sqref="I155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69" t="s">
        <v>0</v>
      </c>
      <c r="B1" s="69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69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70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71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74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75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76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78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workbookViewId="0">
      <selection activeCell="A2" sqref="A2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3" width="17.81640625" style="15" bestFit="1" customWidth="1"/>
    <col min="4" max="7" width="18.7265625" style="15" bestFit="1" customWidth="1"/>
    <col min="8" max="8" width="17.81640625" style="15" bestFit="1" customWidth="1"/>
    <col min="9" max="10" width="18.7265625" style="15" bestFit="1" customWidth="1"/>
    <col min="11" max="12" width="17.81640625" style="15" bestFit="1" customWidth="1"/>
    <col min="13" max="13" width="20.453125" style="15" bestFit="1" customWidth="1"/>
    <col min="14" max="14" width="22.54296875" customWidth="1"/>
    <col min="15" max="15" width="20.26953125" bestFit="1" customWidth="1"/>
    <col min="16" max="16" width="20.54296875" bestFit="1" customWidth="1"/>
  </cols>
  <sheetData>
    <row r="1" spans="1:16" x14ac:dyDescent="0.35">
      <c r="A1" s="39" t="s">
        <v>85</v>
      </c>
    </row>
    <row r="2" spans="1:16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79</v>
      </c>
      <c r="O2" s="57" t="s">
        <v>52</v>
      </c>
    </row>
    <row r="3" spans="1:16" x14ac:dyDescent="0.35">
      <c r="B3" s="18" t="s">
        <v>53</v>
      </c>
      <c r="C3" s="51">
        <v>145021857458.89001</v>
      </c>
      <c r="D3" s="51">
        <v>103116198003</v>
      </c>
      <c r="E3" s="51">
        <v>61747460809</v>
      </c>
      <c r="F3" s="51">
        <v>82051706636</v>
      </c>
      <c r="G3" s="51">
        <v>100100578161</v>
      </c>
      <c r="H3" s="51">
        <v>31799902240</v>
      </c>
      <c r="I3" s="51">
        <v>82696600133</v>
      </c>
      <c r="J3" s="51">
        <v>69645794566</v>
      </c>
      <c r="K3" s="51">
        <v>48466630052</v>
      </c>
      <c r="L3" s="51">
        <v>69947557513</v>
      </c>
      <c r="M3" s="51">
        <v>92121139350</v>
      </c>
      <c r="N3" s="50">
        <v>7527657415</v>
      </c>
      <c r="O3" s="60">
        <f>SUM(C3:N3)</f>
        <v>894243082336.89001</v>
      </c>
      <c r="P3" s="55"/>
    </row>
    <row r="4" spans="1:16" x14ac:dyDescent="0.35">
      <c r="B4" s="18" t="s">
        <v>73</v>
      </c>
      <c r="C4" s="51">
        <v>102735635426.64999</v>
      </c>
      <c r="D4" s="51">
        <v>85926658854.529999</v>
      </c>
      <c r="E4" s="51">
        <v>50875182781</v>
      </c>
      <c r="F4" s="51">
        <v>66456472471.199997</v>
      </c>
      <c r="G4" s="51">
        <v>29877526642.799999</v>
      </c>
      <c r="H4" s="51">
        <v>13025865857</v>
      </c>
      <c r="I4" s="51">
        <v>24612411398.689999</v>
      </c>
      <c r="J4" s="51">
        <v>25207807106</v>
      </c>
      <c r="K4" s="51">
        <v>10752810214</v>
      </c>
      <c r="L4" s="51">
        <v>25624674632.099998</v>
      </c>
      <c r="M4" s="51">
        <v>124655175511.58</v>
      </c>
      <c r="N4" s="50">
        <v>6374645706</v>
      </c>
      <c r="O4" s="60">
        <f t="shared" ref="O4:O11" si="0">SUM(C4:N4)</f>
        <v>566124866601.54993</v>
      </c>
    </row>
    <row r="5" spans="1:16" x14ac:dyDescent="0.35">
      <c r="B5" s="18" t="s">
        <v>54</v>
      </c>
      <c r="C5" s="51">
        <v>18757226016.900002</v>
      </c>
      <c r="D5" s="51">
        <v>11738970306</v>
      </c>
      <c r="E5" s="51">
        <v>7760240199</v>
      </c>
      <c r="F5" s="51">
        <v>12826775227</v>
      </c>
      <c r="G5" s="51">
        <v>19348483079</v>
      </c>
      <c r="H5" s="51">
        <v>7225504850</v>
      </c>
      <c r="I5" s="51">
        <v>20469545852</v>
      </c>
      <c r="J5" s="51">
        <v>23240116686</v>
      </c>
      <c r="K5" s="51">
        <v>4728624852</v>
      </c>
      <c r="L5" s="51">
        <v>23819415730</v>
      </c>
      <c r="M5" s="51">
        <v>35122294039</v>
      </c>
      <c r="N5" s="50">
        <v>3174694609</v>
      </c>
      <c r="O5" s="60">
        <f t="shared" si="0"/>
        <v>188211891445.89999</v>
      </c>
    </row>
    <row r="6" spans="1:16" x14ac:dyDescent="0.35">
      <c r="B6" s="18" t="s">
        <v>55</v>
      </c>
      <c r="C6" s="51">
        <v>2488438148</v>
      </c>
      <c r="D6" s="51">
        <v>3757849374</v>
      </c>
      <c r="E6" s="51">
        <v>1047542834</v>
      </c>
      <c r="F6" s="51">
        <v>3328432450</v>
      </c>
      <c r="G6" s="51">
        <v>3055166071</v>
      </c>
      <c r="H6" s="51">
        <v>677463955</v>
      </c>
      <c r="I6" s="51">
        <v>3095274839</v>
      </c>
      <c r="J6" s="51">
        <v>1926096700</v>
      </c>
      <c r="K6" s="51">
        <v>432710315</v>
      </c>
      <c r="L6" s="51">
        <v>1547521196</v>
      </c>
      <c r="M6" s="51">
        <v>3673428362</v>
      </c>
      <c r="N6" s="50">
        <v>22485000</v>
      </c>
      <c r="O6" s="60">
        <f t="shared" si="0"/>
        <v>25052409244</v>
      </c>
    </row>
    <row r="7" spans="1:16" x14ac:dyDescent="0.35">
      <c r="B7" s="18" t="s">
        <v>56</v>
      </c>
      <c r="C7" s="51">
        <v>1740456788.73</v>
      </c>
      <c r="D7" s="51">
        <v>6345240182</v>
      </c>
      <c r="E7" s="51">
        <v>3641181347</v>
      </c>
      <c r="F7" s="51">
        <v>10821256321</v>
      </c>
      <c r="G7" s="51">
        <v>11101977118</v>
      </c>
      <c r="H7" s="51">
        <v>4536388865</v>
      </c>
      <c r="I7" s="51">
        <v>8660838562</v>
      </c>
      <c r="J7" s="51">
        <v>6958470007</v>
      </c>
      <c r="K7" s="51">
        <v>1750003983</v>
      </c>
      <c r="L7" s="51">
        <v>8306722238</v>
      </c>
      <c r="M7" s="51">
        <v>10006809250</v>
      </c>
      <c r="N7" s="50">
        <v>547067793</v>
      </c>
      <c r="O7" s="60">
        <f t="shared" si="0"/>
        <v>74416412454.729996</v>
      </c>
    </row>
    <row r="8" spans="1:16" x14ac:dyDescent="0.35">
      <c r="B8" s="18" t="s">
        <v>57</v>
      </c>
      <c r="C8" s="51">
        <v>29699353366.510002</v>
      </c>
      <c r="D8" s="51">
        <v>49755663825</v>
      </c>
      <c r="E8" s="51">
        <v>18925856243</v>
      </c>
      <c r="F8" s="51">
        <v>43584454276</v>
      </c>
      <c r="G8" s="51">
        <v>39188573832</v>
      </c>
      <c r="H8" s="51">
        <v>15202223794</v>
      </c>
      <c r="I8" s="51">
        <v>55192196666</v>
      </c>
      <c r="J8" s="51">
        <v>36534187855</v>
      </c>
      <c r="K8" s="51">
        <v>8296594897</v>
      </c>
      <c r="L8" s="51">
        <v>48378858165</v>
      </c>
      <c r="M8" s="51">
        <v>62851598522</v>
      </c>
      <c r="N8" s="50">
        <v>484303616</v>
      </c>
      <c r="O8" s="60">
        <f t="shared" si="0"/>
        <v>408093865057.51001</v>
      </c>
    </row>
    <row r="9" spans="1:16" x14ac:dyDescent="0.35">
      <c r="B9" s="18" t="s">
        <v>5</v>
      </c>
      <c r="C9" s="51">
        <v>58622233510.759995</v>
      </c>
      <c r="D9" s="51">
        <v>85302904332.470001</v>
      </c>
      <c r="E9" s="51">
        <v>41357117928</v>
      </c>
      <c r="F9" s="51">
        <v>84380886329</v>
      </c>
      <c r="G9" s="51">
        <v>84791145487.199997</v>
      </c>
      <c r="H9" s="51">
        <v>27514457137</v>
      </c>
      <c r="I9" s="51">
        <v>77320411217</v>
      </c>
      <c r="J9" s="51">
        <v>54962654877</v>
      </c>
      <c r="K9" s="51">
        <v>17544264576</v>
      </c>
      <c r="L9" s="51">
        <v>63483668004</v>
      </c>
      <c r="M9" s="51">
        <v>54623503860.419998</v>
      </c>
      <c r="N9" s="50">
        <v>11862224761</v>
      </c>
      <c r="O9" s="60">
        <f t="shared" si="0"/>
        <v>661765472019.84998</v>
      </c>
    </row>
    <row r="10" spans="1:16" x14ac:dyDescent="0.35">
      <c r="B10" s="18" t="s">
        <v>58</v>
      </c>
      <c r="C10" s="51">
        <v>16148200189.450001</v>
      </c>
      <c r="D10" s="51">
        <v>14023532121</v>
      </c>
      <c r="E10" s="51">
        <v>1291079103</v>
      </c>
      <c r="F10" s="51">
        <v>6702350661.8000002</v>
      </c>
      <c r="G10" s="51">
        <v>7327778605</v>
      </c>
      <c r="H10" s="51">
        <v>4276745447</v>
      </c>
      <c r="I10" s="51">
        <v>4059834953.3099999</v>
      </c>
      <c r="J10" s="51">
        <v>6543258506</v>
      </c>
      <c r="K10" s="51">
        <v>1410217607</v>
      </c>
      <c r="L10" s="51">
        <v>2671213462.9000001</v>
      </c>
      <c r="M10" s="51">
        <v>3162319651</v>
      </c>
      <c r="N10" s="50">
        <v>267144113</v>
      </c>
      <c r="O10" s="60">
        <f t="shared" si="0"/>
        <v>67883674420.459999</v>
      </c>
    </row>
    <row r="11" spans="1:16" x14ac:dyDescent="0.35">
      <c r="A11" s="17"/>
      <c r="B11" s="19" t="s">
        <v>59</v>
      </c>
      <c r="C11" s="52">
        <v>461355333</v>
      </c>
      <c r="D11" s="52">
        <v>136643033</v>
      </c>
      <c r="E11" s="52">
        <v>251500000</v>
      </c>
      <c r="F11" s="52">
        <v>10570000</v>
      </c>
      <c r="G11" s="52">
        <v>351642440</v>
      </c>
      <c r="H11" s="52">
        <v>4000000</v>
      </c>
      <c r="I11" s="52">
        <v>1618300</v>
      </c>
      <c r="J11" s="52">
        <v>14482150</v>
      </c>
      <c r="K11" s="52">
        <v>0</v>
      </c>
      <c r="L11" s="52">
        <v>6880000</v>
      </c>
      <c r="M11" s="52">
        <v>272400000</v>
      </c>
      <c r="N11" s="50">
        <v>0</v>
      </c>
      <c r="O11" s="60">
        <f t="shared" si="0"/>
        <v>1511091256</v>
      </c>
    </row>
    <row r="12" spans="1:16" x14ac:dyDescent="0.35">
      <c r="B12" s="19"/>
      <c r="C12" s="20">
        <f>SUM(C3:C11)</f>
        <v>375674756238.89001</v>
      </c>
      <c r="D12" s="20">
        <f t="shared" ref="D12:O12" si="1">SUM(D3:D11)</f>
        <v>360103660031</v>
      </c>
      <c r="E12" s="20">
        <f t="shared" si="1"/>
        <v>186897161244</v>
      </c>
      <c r="F12" s="20">
        <f t="shared" si="1"/>
        <v>310162904372</v>
      </c>
      <c r="G12" s="20">
        <f t="shared" si="1"/>
        <v>295142871436</v>
      </c>
      <c r="H12" s="20">
        <f t="shared" si="1"/>
        <v>104262552145</v>
      </c>
      <c r="I12" s="20">
        <f t="shared" si="1"/>
        <v>276108731921</v>
      </c>
      <c r="J12" s="20">
        <f t="shared" si="1"/>
        <v>225032868453</v>
      </c>
      <c r="K12" s="20">
        <f t="shared" si="1"/>
        <v>93381856496</v>
      </c>
      <c r="L12" s="20">
        <f t="shared" si="1"/>
        <v>243786510941</v>
      </c>
      <c r="M12" s="20">
        <f t="shared" si="1"/>
        <v>386488668546</v>
      </c>
      <c r="N12" s="20">
        <f t="shared" si="1"/>
        <v>30260223013</v>
      </c>
      <c r="O12" s="20">
        <f t="shared" si="1"/>
        <v>2887302764836.8896</v>
      </c>
    </row>
    <row r="13" spans="1:16" x14ac:dyDescent="0.35">
      <c r="M13"/>
    </row>
    <row r="15" spans="1:16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topLeftCell="C1" workbookViewId="0">
      <selection activeCell="O3" sqref="O3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6328125" style="28" bestFit="1" customWidth="1"/>
    <col min="16" max="16384" width="9.1796875" style="28"/>
  </cols>
  <sheetData>
    <row r="1" spans="1:15" ht="15" thickBot="1" x14ac:dyDescent="0.4">
      <c r="A1" s="39" t="str">
        <f>'Fixed rate bond (Values)'!A1</f>
        <v>24 November 2023</v>
      </c>
    </row>
    <row r="2" spans="1:15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79</v>
      </c>
      <c r="O2" s="45" t="s">
        <v>72</v>
      </c>
    </row>
    <row r="3" spans="1:15" x14ac:dyDescent="0.35">
      <c r="B3" s="46" t="s">
        <v>53</v>
      </c>
      <c r="C3" s="58">
        <v>0.38603034952572435</v>
      </c>
      <c r="D3" s="58">
        <v>0.28635143001357749</v>
      </c>
      <c r="E3" s="58">
        <v>0.33038201542497903</v>
      </c>
      <c r="F3" s="58">
        <v>0.26454390734486311</v>
      </c>
      <c r="G3" s="58">
        <v>0.33915973533077937</v>
      </c>
      <c r="H3" s="58">
        <v>0.30499831037873737</v>
      </c>
      <c r="I3" s="58">
        <v>0.29950737000473088</v>
      </c>
      <c r="J3" s="58">
        <v>0.30949165357391384</v>
      </c>
      <c r="K3" s="58">
        <v>0.51901549048851969</v>
      </c>
      <c r="L3" s="58">
        <v>0.28692136100150495</v>
      </c>
      <c r="M3" s="58">
        <v>0.2383540498006495</v>
      </c>
      <c r="N3" s="58">
        <v>0.24876410896793677</v>
      </c>
      <c r="O3" s="58">
        <v>0.30971572958245264</v>
      </c>
    </row>
    <row r="4" spans="1:15" x14ac:dyDescent="0.35">
      <c r="B4" s="47" t="s">
        <v>73</v>
      </c>
      <c r="C4" s="58">
        <v>0.27346962690599536</v>
      </c>
      <c r="D4" s="58">
        <v>0.23861645518163543</v>
      </c>
      <c r="E4" s="58">
        <v>0.2722094998253124</v>
      </c>
      <c r="F4" s="58">
        <v>0.21426312281205012</v>
      </c>
      <c r="G4" s="58">
        <v>0.10123072428425149</v>
      </c>
      <c r="H4" s="58">
        <v>0.12493331104042676</v>
      </c>
      <c r="I4" s="58">
        <v>8.9140286246840186E-2</v>
      </c>
      <c r="J4" s="58">
        <v>0.11201833438507167</v>
      </c>
      <c r="K4" s="58">
        <v>0.1151488160278822</v>
      </c>
      <c r="L4" s="58">
        <v>0.1051111258501975</v>
      </c>
      <c r="M4" s="58">
        <v>0.32253254922205699</v>
      </c>
      <c r="N4" s="59">
        <v>0.21066089642701602</v>
      </c>
      <c r="O4" s="59">
        <v>0.19607395299728175</v>
      </c>
    </row>
    <row r="5" spans="1:15" x14ac:dyDescent="0.35">
      <c r="B5" s="47" t="s">
        <v>54</v>
      </c>
      <c r="C5" s="58">
        <v>4.9929428862056306E-2</v>
      </c>
      <c r="D5" s="58">
        <v>3.2598864185355507E-2</v>
      </c>
      <c r="E5" s="58">
        <v>4.1521444987967303E-2</v>
      </c>
      <c r="F5" s="58">
        <v>4.1354962331716996E-2</v>
      </c>
      <c r="G5" s="58">
        <v>6.5556328651480256E-2</v>
      </c>
      <c r="H5" s="58">
        <v>6.9301054897940223E-2</v>
      </c>
      <c r="I5" s="58">
        <v>7.4135814936329966E-2</v>
      </c>
      <c r="J5" s="58">
        <v>0.10327432097260002</v>
      </c>
      <c r="K5" s="58">
        <v>5.0637511711951778E-2</v>
      </c>
      <c r="L5" s="58">
        <v>9.7706044678430373E-2</v>
      </c>
      <c r="M5" s="58">
        <v>9.0875352623228933E-2</v>
      </c>
      <c r="N5" s="59">
        <v>0.10491312663611664</v>
      </c>
      <c r="O5" s="59">
        <v>6.5186060062022114E-2</v>
      </c>
    </row>
    <row r="6" spans="1:15" x14ac:dyDescent="0.35">
      <c r="B6" s="47" t="s">
        <v>55</v>
      </c>
      <c r="C6" s="58">
        <v>6.6239163177033182E-3</v>
      </c>
      <c r="D6" s="58">
        <v>1.0435465648076169E-2</v>
      </c>
      <c r="E6" s="58">
        <v>5.6049157035210429E-3</v>
      </c>
      <c r="F6" s="58">
        <v>1.0731239626283544E-2</v>
      </c>
      <c r="G6" s="58">
        <v>1.0351481830258248E-2</v>
      </c>
      <c r="H6" s="58">
        <v>6.4976728562891632E-3</v>
      </c>
      <c r="I6" s="58">
        <v>1.1210347523111357E-2</v>
      </c>
      <c r="J6" s="58">
        <v>8.5591794356133424E-3</v>
      </c>
      <c r="K6" s="58">
        <v>4.6337728894748961E-3</v>
      </c>
      <c r="L6" s="58">
        <v>6.3478540712801103E-3</v>
      </c>
      <c r="M6" s="58">
        <v>9.5046211207684798E-3</v>
      </c>
      <c r="N6" s="59">
        <v>7.4305466917214352E-4</v>
      </c>
      <c r="O6" s="59">
        <v>8.676751724516589E-3</v>
      </c>
    </row>
    <row r="7" spans="1:15" x14ac:dyDescent="0.35">
      <c r="B7" s="47" t="s">
        <v>56</v>
      </c>
      <c r="C7" s="58">
        <v>4.632881927321331E-3</v>
      </c>
      <c r="D7" s="58">
        <v>1.7620593418722158E-2</v>
      </c>
      <c r="E7" s="58">
        <v>1.9482272083556827E-2</v>
      </c>
      <c r="F7" s="58">
        <v>3.4888944385242517E-2</v>
      </c>
      <c r="G7" s="58">
        <v>3.7615603128017268E-2</v>
      </c>
      <c r="H7" s="58">
        <v>4.3509282783440351E-2</v>
      </c>
      <c r="I7" s="58">
        <v>3.1367492443078661E-2</v>
      </c>
      <c r="J7" s="58">
        <v>3.0922016214059569E-2</v>
      </c>
      <c r="K7" s="58">
        <v>1.874029976128137E-2</v>
      </c>
      <c r="L7" s="58">
        <v>3.4073756607519406E-2</v>
      </c>
      <c r="M7" s="58">
        <v>2.5891598032217564E-2</v>
      </c>
      <c r="N7" s="59">
        <v>1.807877598142538E-2</v>
      </c>
      <c r="O7" s="59">
        <v>2.5773678244281371E-2</v>
      </c>
    </row>
    <row r="8" spans="1:15" x14ac:dyDescent="0.35">
      <c r="B8" s="47" t="s">
        <v>57</v>
      </c>
      <c r="C8" s="58">
        <v>7.905602618565169E-2</v>
      </c>
      <c r="D8" s="58">
        <v>0.13817039188303923</v>
      </c>
      <c r="E8" s="58">
        <v>0.10126347621883733</v>
      </c>
      <c r="F8" s="58">
        <v>0.14052117020327526</v>
      </c>
      <c r="G8" s="58">
        <v>0.1327783172987724</v>
      </c>
      <c r="H8" s="58">
        <v>0.14580713287027508</v>
      </c>
      <c r="I8" s="58">
        <v>0.19989297796562097</v>
      </c>
      <c r="J8" s="58">
        <v>0.16235045176358526</v>
      </c>
      <c r="K8" s="58">
        <v>8.884589799684893E-2</v>
      </c>
      <c r="L8" s="58">
        <v>0.19844764166097939</v>
      </c>
      <c r="M8" s="58">
        <v>0.1626220990086269</v>
      </c>
      <c r="N8" s="59">
        <v>1.6004628114999014E-2</v>
      </c>
      <c r="O8" s="59">
        <v>0.14134086318466299</v>
      </c>
    </row>
    <row r="9" spans="1:15" x14ac:dyDescent="0.35">
      <c r="B9" s="47" t="s">
        <v>5</v>
      </c>
      <c r="C9" s="58">
        <v>0.1560451761456188</v>
      </c>
      <c r="D9" s="58">
        <v>0.23688430249536088</v>
      </c>
      <c r="E9" s="58">
        <v>0.22128275064599301</v>
      </c>
      <c r="F9" s="58">
        <v>0.27205344397921977</v>
      </c>
      <c r="G9" s="58">
        <v>0.28728847515324951</v>
      </c>
      <c r="H9" s="58">
        <v>0.26389587220860561</v>
      </c>
      <c r="I9" s="58">
        <v>0.28003609548691438</v>
      </c>
      <c r="J9" s="58">
        <v>0.2442427866419852</v>
      </c>
      <c r="K9" s="58">
        <v>0.18787658796172579</v>
      </c>
      <c r="L9" s="58">
        <v>0.26040681151289785</v>
      </c>
      <c r="M9" s="58">
        <v>0.14133274350815461</v>
      </c>
      <c r="N9" s="59">
        <v>0.39200718236292925</v>
      </c>
      <c r="O9" s="59">
        <v>0.22919850321178029</v>
      </c>
    </row>
    <row r="10" spans="1:15" x14ac:dyDescent="0.35">
      <c r="B10" s="47" t="s">
        <v>58</v>
      </c>
      <c r="C10" s="58">
        <v>4.2984522971730971E-2</v>
      </c>
      <c r="D10" s="58">
        <v>3.8943042455588391E-2</v>
      </c>
      <c r="E10" s="58">
        <v>6.9079652917491694E-3</v>
      </c>
      <c r="F10" s="58">
        <v>2.1609130451530088E-2</v>
      </c>
      <c r="G10" s="58">
        <v>2.4827903074016767E-2</v>
      </c>
      <c r="H10" s="58">
        <v>4.1018998279000934E-2</v>
      </c>
      <c r="I10" s="58">
        <v>1.4703754296592099E-2</v>
      </c>
      <c r="J10" s="58">
        <v>2.9076901303271677E-2</v>
      </c>
      <c r="K10" s="58">
        <v>1.5101623162315331E-2</v>
      </c>
      <c r="L10" s="58">
        <v>1.0957183203407321E-2</v>
      </c>
      <c r="M10" s="58">
        <v>8.1821794747486097E-3</v>
      </c>
      <c r="N10" s="59">
        <v>8.8282268404047473E-3</v>
      </c>
      <c r="O10" s="59">
        <v>2.3511103597164636E-2</v>
      </c>
    </row>
    <row r="11" spans="1:15" x14ac:dyDescent="0.35">
      <c r="B11" s="47" t="s">
        <v>59</v>
      </c>
      <c r="C11" s="58">
        <v>1.2280711581978802E-3</v>
      </c>
      <c r="D11" s="58">
        <v>3.794547186447283E-4</v>
      </c>
      <c r="E11" s="58">
        <v>1.3456598180839087E-3</v>
      </c>
      <c r="F11" s="58">
        <v>3.4078865818597903E-5</v>
      </c>
      <c r="G11" s="58">
        <v>1.1914312491746954E-3</v>
      </c>
      <c r="H11" s="58">
        <v>3.8364685284483741E-5</v>
      </c>
      <c r="I11" s="58">
        <v>5.8610967814774748E-6</v>
      </c>
      <c r="J11" s="58">
        <v>6.4355709899439502E-5</v>
      </c>
      <c r="K11" s="58">
        <v>0</v>
      </c>
      <c r="L11" s="58">
        <v>2.8221413783082786E-5</v>
      </c>
      <c r="M11" s="58">
        <v>7.0480720954844468E-4</v>
      </c>
      <c r="N11" s="59">
        <v>0</v>
      </c>
      <c r="O11" s="59">
        <v>5.2335739583769109E-4</v>
      </c>
    </row>
    <row r="12" spans="1:15" ht="15" thickBot="1" x14ac:dyDescent="0.4">
      <c r="A12" s="17"/>
      <c r="B12" s="48"/>
      <c r="C12" s="49">
        <f>SUM(C3:C11)</f>
        <v>1</v>
      </c>
      <c r="D12" s="49">
        <f t="shared" ref="D12:O12" si="0">SUM(D3:D11)</f>
        <v>1</v>
      </c>
      <c r="E12" s="49">
        <f t="shared" si="0"/>
        <v>1</v>
      </c>
      <c r="F12" s="49">
        <f t="shared" si="0"/>
        <v>1</v>
      </c>
      <c r="G12" s="49">
        <f t="shared" si="0"/>
        <v>1</v>
      </c>
      <c r="H12" s="49">
        <f t="shared" si="0"/>
        <v>1</v>
      </c>
      <c r="I12" s="49">
        <f t="shared" si="0"/>
        <v>0.99999999999999989</v>
      </c>
      <c r="J12" s="49">
        <f t="shared" si="0"/>
        <v>1</v>
      </c>
      <c r="K12" s="49">
        <f t="shared" si="0"/>
        <v>0.99999999999999989</v>
      </c>
      <c r="L12" s="49">
        <f t="shared" si="0"/>
        <v>1</v>
      </c>
      <c r="M12" s="49">
        <f t="shared" si="0"/>
        <v>1</v>
      </c>
      <c r="N12" s="49">
        <f t="shared" si="0"/>
        <v>1</v>
      </c>
      <c r="O12" s="49">
        <f t="shared" si="0"/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topLeftCell="G1" workbookViewId="0">
      <selection activeCell="O16" sqref="O16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5" width="17.7265625" style="15" bestFit="1" customWidth="1"/>
    <col min="6" max="6" width="16.54296875" style="15" bestFit="1" customWidth="1"/>
    <col min="7" max="10" width="17.7265625" style="15" bestFit="1" customWidth="1"/>
    <col min="11" max="11" width="17.7265625" style="15" customWidth="1"/>
    <col min="12" max="12" width="18.7265625" style="15" bestFit="1" customWidth="1"/>
    <col min="13" max="14" width="18.81640625" style="28" customWidth="1"/>
    <col min="15" max="15" width="20.81640625" style="28" customWidth="1"/>
    <col min="16" max="16384" width="9.1796875" style="28"/>
  </cols>
  <sheetData>
    <row r="1" spans="1:15" x14ac:dyDescent="0.35">
      <c r="A1" s="39" t="str">
        <f>'Fixed rate bond (Values)'!A1</f>
        <v>24 November 2023</v>
      </c>
      <c r="C1" s="32"/>
      <c r="D1" s="32"/>
      <c r="E1" s="32"/>
      <c r="F1" s="32"/>
      <c r="G1" s="32"/>
      <c r="H1" s="32"/>
      <c r="I1" s="32"/>
      <c r="J1" s="32"/>
      <c r="K1" s="32"/>
    </row>
    <row r="2" spans="1:15" x14ac:dyDescent="0.35">
      <c r="A2" s="17"/>
      <c r="B2" s="18" t="s">
        <v>40</v>
      </c>
      <c r="C2" s="40" t="s">
        <v>60</v>
      </c>
      <c r="D2" s="40" t="s">
        <v>61</v>
      </c>
      <c r="E2" s="40" t="s">
        <v>62</v>
      </c>
      <c r="F2" s="40" t="s">
        <v>68</v>
      </c>
      <c r="G2" s="40" t="s">
        <v>80</v>
      </c>
      <c r="H2" s="40" t="s">
        <v>63</v>
      </c>
      <c r="I2" s="40" t="s">
        <v>64</v>
      </c>
      <c r="J2" s="40" t="s">
        <v>65</v>
      </c>
      <c r="K2" s="40" t="s">
        <v>82</v>
      </c>
      <c r="L2" s="40" t="s">
        <v>66</v>
      </c>
      <c r="M2" s="22" t="s">
        <v>67</v>
      </c>
      <c r="N2" s="22" t="s">
        <v>83</v>
      </c>
      <c r="O2" s="22" t="s">
        <v>84</v>
      </c>
    </row>
    <row r="3" spans="1:15" x14ac:dyDescent="0.35">
      <c r="B3" s="18" t="s">
        <v>53</v>
      </c>
      <c r="C3" s="51">
        <v>150542594</v>
      </c>
      <c r="D3" s="51">
        <v>1161500362</v>
      </c>
      <c r="E3" s="51">
        <v>153590432</v>
      </c>
      <c r="F3" s="51">
        <v>5471983366</v>
      </c>
      <c r="G3" s="51">
        <v>130800000</v>
      </c>
      <c r="H3" s="51">
        <v>14843504966</v>
      </c>
      <c r="I3" s="51">
        <v>255979735</v>
      </c>
      <c r="J3" s="51">
        <v>3115839812</v>
      </c>
      <c r="K3" s="51">
        <v>0</v>
      </c>
      <c r="L3" s="51">
        <v>5174291439</v>
      </c>
      <c r="M3" s="52">
        <v>2653529362</v>
      </c>
      <c r="N3" s="52">
        <v>47000000</v>
      </c>
      <c r="O3" s="20">
        <f>SUM(C3:N3)</f>
        <v>33158562068</v>
      </c>
    </row>
    <row r="4" spans="1:15" x14ac:dyDescent="0.35">
      <c r="B4" s="18" t="s">
        <v>73</v>
      </c>
      <c r="C4" s="51">
        <v>11127775471.529999</v>
      </c>
      <c r="D4" s="51">
        <v>11300705029</v>
      </c>
      <c r="E4" s="51">
        <v>1212767291</v>
      </c>
      <c r="F4" s="51">
        <v>3119450915</v>
      </c>
      <c r="G4" s="51">
        <v>641005022</v>
      </c>
      <c r="H4" s="51">
        <v>1694567741</v>
      </c>
      <c r="I4" s="51">
        <v>6764572072.9700003</v>
      </c>
      <c r="J4" s="51">
        <v>8049997087</v>
      </c>
      <c r="K4" s="51">
        <v>0</v>
      </c>
      <c r="L4" s="51">
        <v>14999826106.99</v>
      </c>
      <c r="M4" s="52">
        <v>15646757069.839998</v>
      </c>
      <c r="N4" s="52">
        <v>146000000</v>
      </c>
      <c r="O4" s="20">
        <f t="shared" ref="O4:O11" si="0">SUM(C4:N4)</f>
        <v>74703423806.330002</v>
      </c>
    </row>
    <row r="5" spans="1:15" x14ac:dyDescent="0.35">
      <c r="B5" s="18" t="s">
        <v>54</v>
      </c>
      <c r="C5" s="51">
        <v>774857197.92000008</v>
      </c>
      <c r="D5" s="51">
        <v>4813646004.3000002</v>
      </c>
      <c r="E5" s="51">
        <v>1989560538</v>
      </c>
      <c r="F5" s="51">
        <v>2967074176</v>
      </c>
      <c r="G5" s="51">
        <v>84200000</v>
      </c>
      <c r="H5" s="51">
        <v>3343881407</v>
      </c>
      <c r="I5" s="51">
        <v>1663640234</v>
      </c>
      <c r="J5" s="51">
        <v>5600486016</v>
      </c>
      <c r="K5" s="51">
        <v>0</v>
      </c>
      <c r="L5" s="51">
        <v>7280621801</v>
      </c>
      <c r="M5" s="52">
        <v>7238469965</v>
      </c>
      <c r="N5" s="52">
        <v>0</v>
      </c>
      <c r="O5" s="20">
        <f t="shared" si="0"/>
        <v>35756437339.220001</v>
      </c>
    </row>
    <row r="6" spans="1:15" x14ac:dyDescent="0.35">
      <c r="B6" s="18" t="s">
        <v>55</v>
      </c>
      <c r="C6" s="51">
        <v>51373230</v>
      </c>
      <c r="D6" s="51">
        <v>1942727701.7</v>
      </c>
      <c r="E6" s="51">
        <v>199920699</v>
      </c>
      <c r="F6" s="51">
        <v>1082183701</v>
      </c>
      <c r="G6" s="51">
        <v>8000000</v>
      </c>
      <c r="H6" s="51">
        <v>1123312503</v>
      </c>
      <c r="I6" s="51">
        <v>528347508</v>
      </c>
      <c r="J6" s="51">
        <v>1412255913.3600001</v>
      </c>
      <c r="K6" s="51">
        <v>0</v>
      </c>
      <c r="L6" s="51">
        <v>1267356736</v>
      </c>
      <c r="M6" s="52">
        <v>2184321579.8099999</v>
      </c>
      <c r="N6" s="52">
        <v>0</v>
      </c>
      <c r="O6" s="20">
        <f t="shared" si="0"/>
        <v>9799799571.8699989</v>
      </c>
    </row>
    <row r="7" spans="1:15" x14ac:dyDescent="0.35">
      <c r="B7" s="18" t="s">
        <v>56</v>
      </c>
      <c r="C7" s="51">
        <v>370726642</v>
      </c>
      <c r="D7" s="51">
        <v>4528413567</v>
      </c>
      <c r="E7" s="51">
        <v>1982836375.7</v>
      </c>
      <c r="F7" s="51">
        <v>4378126810</v>
      </c>
      <c r="G7" s="51">
        <v>42300000</v>
      </c>
      <c r="H7" s="51">
        <v>8317694439</v>
      </c>
      <c r="I7" s="51">
        <v>2883653959.6399999</v>
      </c>
      <c r="J7" s="51">
        <v>9816671937</v>
      </c>
      <c r="K7" s="51">
        <v>0</v>
      </c>
      <c r="L7" s="51">
        <v>13446427033</v>
      </c>
      <c r="M7" s="52">
        <v>16237852286.65</v>
      </c>
      <c r="N7" s="52">
        <v>115000000</v>
      </c>
      <c r="O7" s="20">
        <f t="shared" si="0"/>
        <v>62119703049.989998</v>
      </c>
    </row>
    <row r="8" spans="1:15" x14ac:dyDescent="0.35">
      <c r="B8" s="18" t="s">
        <v>57</v>
      </c>
      <c r="C8" s="51">
        <v>11616802988</v>
      </c>
      <c r="D8" s="51">
        <v>25239087765</v>
      </c>
      <c r="E8" s="51">
        <v>19508865590</v>
      </c>
      <c r="F8" s="51">
        <v>19280739477</v>
      </c>
      <c r="G8" s="51">
        <v>430000000</v>
      </c>
      <c r="H8" s="51">
        <v>35224522128</v>
      </c>
      <c r="I8" s="51">
        <v>23370396661</v>
      </c>
      <c r="J8" s="51">
        <v>46168696286</v>
      </c>
      <c r="K8" s="51">
        <v>4286000000</v>
      </c>
      <c r="L8" s="51">
        <v>42125528020</v>
      </c>
      <c r="M8" s="52">
        <v>49460507676</v>
      </c>
      <c r="N8" s="52">
        <v>160000000</v>
      </c>
      <c r="O8" s="20">
        <f t="shared" si="0"/>
        <v>276871146591</v>
      </c>
    </row>
    <row r="9" spans="1:15" x14ac:dyDescent="0.35">
      <c r="B9" s="18" t="s">
        <v>5</v>
      </c>
      <c r="C9" s="51">
        <v>1401930663.5500002</v>
      </c>
      <c r="D9" s="51">
        <v>17396655288</v>
      </c>
      <c r="E9" s="51">
        <v>4811052436.0699997</v>
      </c>
      <c r="F9" s="51">
        <v>16558098870</v>
      </c>
      <c r="G9" s="51">
        <v>324496076</v>
      </c>
      <c r="H9" s="51">
        <v>11228127194</v>
      </c>
      <c r="I9" s="51">
        <v>2387320150.3899999</v>
      </c>
      <c r="J9" s="51">
        <v>5839085065.6400003</v>
      </c>
      <c r="K9" s="51">
        <v>49720334</v>
      </c>
      <c r="L9" s="51">
        <v>8147090742.0099993</v>
      </c>
      <c r="M9" s="52">
        <v>9654178502.7000008</v>
      </c>
      <c r="N9" s="52">
        <v>178926831</v>
      </c>
      <c r="O9" s="20">
        <f t="shared" si="0"/>
        <v>77976682153.360001</v>
      </c>
    </row>
    <row r="10" spans="1:15" x14ac:dyDescent="0.35">
      <c r="B10" s="18" t="s">
        <v>58</v>
      </c>
      <c r="C10" s="51">
        <v>1510508690</v>
      </c>
      <c r="D10" s="51">
        <v>1527264283</v>
      </c>
      <c r="E10" s="51">
        <v>763924200.23000002</v>
      </c>
      <c r="F10" s="51">
        <v>294765406</v>
      </c>
      <c r="G10" s="51">
        <v>24198902</v>
      </c>
      <c r="H10" s="51">
        <v>874050935</v>
      </c>
      <c r="I10" s="51">
        <v>87274678</v>
      </c>
      <c r="J10" s="51">
        <v>1666967883</v>
      </c>
      <c r="K10" s="51">
        <v>0</v>
      </c>
      <c r="L10" s="51">
        <v>1608858122</v>
      </c>
      <c r="M10" s="52">
        <v>1844383558</v>
      </c>
      <c r="N10" s="52">
        <v>0</v>
      </c>
      <c r="O10" s="20">
        <f t="shared" si="0"/>
        <v>10202196657.23</v>
      </c>
    </row>
    <row r="11" spans="1:15" x14ac:dyDescent="0.35">
      <c r="B11" s="18" t="s">
        <v>59</v>
      </c>
      <c r="C11" s="52">
        <v>0</v>
      </c>
      <c r="D11" s="52">
        <v>0</v>
      </c>
      <c r="E11" s="52">
        <v>300000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20">
        <f t="shared" si="0"/>
        <v>300000</v>
      </c>
    </row>
    <row r="12" spans="1:15" x14ac:dyDescent="0.35">
      <c r="A12" s="17"/>
      <c r="B12" s="18"/>
      <c r="C12" s="33">
        <f>SUM(C3:C11)</f>
        <v>27004517476.999996</v>
      </c>
      <c r="D12" s="33">
        <f t="shared" ref="D12:O12" si="1">SUM(D3:D11)</f>
        <v>67910000000</v>
      </c>
      <c r="E12" s="33">
        <f t="shared" si="1"/>
        <v>30622817562</v>
      </c>
      <c r="F12" s="33">
        <f t="shared" si="1"/>
        <v>53152422721</v>
      </c>
      <c r="G12" s="33">
        <f t="shared" si="1"/>
        <v>1685000000</v>
      </c>
      <c r="H12" s="33">
        <f t="shared" si="1"/>
        <v>76649661313</v>
      </c>
      <c r="I12" s="33">
        <f t="shared" si="1"/>
        <v>37941184999</v>
      </c>
      <c r="J12" s="33">
        <f t="shared" si="1"/>
        <v>81670000000</v>
      </c>
      <c r="K12" s="33">
        <f t="shared" si="1"/>
        <v>4335720334</v>
      </c>
      <c r="L12" s="33">
        <f t="shared" si="1"/>
        <v>94049999999.999985</v>
      </c>
      <c r="M12" s="33">
        <f t="shared" si="1"/>
        <v>104919999999.99998</v>
      </c>
      <c r="N12" s="33">
        <f t="shared" si="1"/>
        <v>646926831</v>
      </c>
      <c r="O12" s="33">
        <f t="shared" si="1"/>
        <v>580588251237</v>
      </c>
    </row>
    <row r="13" spans="1:15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42"/>
      <c r="N13" s="42"/>
    </row>
    <row r="14" spans="1:15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42"/>
      <c r="N14" s="42"/>
    </row>
    <row r="15" spans="1:15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15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3:14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 spans="3:14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spans="3:14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3:14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3:14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3:14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</row>
    <row r="23" spans="3:14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3:14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>
      <selection activeCell="C3" sqref="C3:O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.26953125" style="15" bestFit="1" customWidth="1"/>
    <col min="5" max="5" width="11" style="15" bestFit="1" customWidth="1"/>
    <col min="6" max="6" width="11" style="15" customWidth="1"/>
    <col min="7" max="7" width="11" style="15" bestFit="1" customWidth="1"/>
    <col min="8" max="10" width="11.26953125" style="15" bestFit="1" customWidth="1"/>
    <col min="11" max="11" width="11.26953125" style="15" customWidth="1"/>
    <col min="12" max="12" width="11.7265625" style="28" customWidth="1"/>
    <col min="13" max="14" width="11.08984375" style="28" bestFit="1" customWidth="1"/>
    <col min="15" max="16384" width="9.1796875" style="28"/>
  </cols>
  <sheetData>
    <row r="1" spans="1:15" x14ac:dyDescent="0.35">
      <c r="A1" s="39" t="str">
        <f>'Fixed rate bond (Values)'!A1</f>
        <v>24 November 2023</v>
      </c>
    </row>
    <row r="2" spans="1:15" x14ac:dyDescent="0.35">
      <c r="A2" s="17"/>
      <c r="B2" s="18"/>
      <c r="C2" s="22" t="s">
        <v>60</v>
      </c>
      <c r="D2" s="22" t="s">
        <v>61</v>
      </c>
      <c r="E2" s="22" t="s">
        <v>62</v>
      </c>
      <c r="F2" s="22" t="s">
        <v>68</v>
      </c>
      <c r="G2" s="22" t="s">
        <v>80</v>
      </c>
      <c r="H2" s="22" t="s">
        <v>63</v>
      </c>
      <c r="I2" s="22" t="s">
        <v>64</v>
      </c>
      <c r="J2" s="22" t="s">
        <v>65</v>
      </c>
      <c r="K2" s="22" t="s">
        <v>82</v>
      </c>
      <c r="L2" s="22" t="s">
        <v>66</v>
      </c>
      <c r="M2" s="43" t="s">
        <v>67</v>
      </c>
      <c r="N2" s="43" t="s">
        <v>83</v>
      </c>
      <c r="O2" s="43" t="s">
        <v>72</v>
      </c>
    </row>
    <row r="3" spans="1:15" x14ac:dyDescent="0.35">
      <c r="B3" s="18" t="s">
        <v>53</v>
      </c>
      <c r="C3" s="53">
        <v>5.5747189013178461E-3</v>
      </c>
      <c r="D3" s="53">
        <v>1.7103524694448535E-2</v>
      </c>
      <c r="E3" s="53">
        <v>5.0155552045149203E-3</v>
      </c>
      <c r="F3" s="53">
        <v>0.10294889839213431</v>
      </c>
      <c r="G3" s="53">
        <v>7.7626112759643914E-2</v>
      </c>
      <c r="H3" s="53">
        <v>0.19365388850690851</v>
      </c>
      <c r="I3" s="53">
        <v>6.7467511888926702E-3</v>
      </c>
      <c r="J3" s="53">
        <v>3.8151583347618465E-2</v>
      </c>
      <c r="K3" s="53">
        <v>0</v>
      </c>
      <c r="L3" s="53">
        <v>5.5016389569378002E-2</v>
      </c>
      <c r="M3" s="53">
        <v>2.5290977525733897E-2</v>
      </c>
      <c r="N3" s="53">
        <v>7.2651183639035055E-2</v>
      </c>
      <c r="O3" s="53">
        <v>5.7112010098985713E-2</v>
      </c>
    </row>
    <row r="4" spans="1:15" x14ac:dyDescent="0.35">
      <c r="B4" s="18" t="s">
        <v>73</v>
      </c>
      <c r="C4" s="53">
        <v>0.41207088706575229</v>
      </c>
      <c r="D4" s="53">
        <v>0.16640708333087911</v>
      </c>
      <c r="E4" s="53">
        <v>3.9603386871393857E-2</v>
      </c>
      <c r="F4" s="53">
        <v>5.8688781344439743E-2</v>
      </c>
      <c r="G4" s="53">
        <v>0.3804184106824926</v>
      </c>
      <c r="H4" s="53">
        <v>2.2107961235212876E-2</v>
      </c>
      <c r="I4" s="53">
        <v>0.17829100680825577</v>
      </c>
      <c r="J4" s="53">
        <v>9.8567369744092082E-2</v>
      </c>
      <c r="K4" s="53">
        <v>0</v>
      </c>
      <c r="L4" s="53">
        <v>0.1594877842316853</v>
      </c>
      <c r="M4" s="53">
        <v>0.14913035712771636</v>
      </c>
      <c r="N4" s="53">
        <v>0.22568240024040678</v>
      </c>
      <c r="O4" s="53">
        <v>0.12866850758203779</v>
      </c>
    </row>
    <row r="5" spans="1:15" x14ac:dyDescent="0.35">
      <c r="B5" s="18" t="s">
        <v>54</v>
      </c>
      <c r="C5" s="53">
        <v>2.8693613895525195E-2</v>
      </c>
      <c r="D5" s="53">
        <v>7.0882727202179363E-2</v>
      </c>
      <c r="E5" s="53">
        <v>6.4969872023430505E-2</v>
      </c>
      <c r="F5" s="53">
        <v>5.5821993130479412E-2</v>
      </c>
      <c r="G5" s="53">
        <v>4.9970326409495551E-2</v>
      </c>
      <c r="H5" s="53">
        <v>4.362552097060432E-2</v>
      </c>
      <c r="I5" s="53">
        <v>4.3847872280316176E-2</v>
      </c>
      <c r="J5" s="53">
        <v>6.8574580825272444E-2</v>
      </c>
      <c r="K5" s="53">
        <v>0</v>
      </c>
      <c r="L5" s="53">
        <v>7.7412246687931965E-2</v>
      </c>
      <c r="M5" s="53">
        <v>6.8990373284407172E-2</v>
      </c>
      <c r="N5" s="53">
        <v>0</v>
      </c>
      <c r="O5" s="53">
        <v>6.1586567180850489E-2</v>
      </c>
    </row>
    <row r="6" spans="1:15" x14ac:dyDescent="0.35">
      <c r="B6" s="18" t="s">
        <v>55</v>
      </c>
      <c r="C6" s="53">
        <v>1.9023939251554881E-3</v>
      </c>
      <c r="D6" s="53">
        <v>2.8607387744073037E-2</v>
      </c>
      <c r="E6" s="53">
        <v>6.5284880659734765E-3</v>
      </c>
      <c r="F6" s="53">
        <v>2.0360007043901687E-2</v>
      </c>
      <c r="G6" s="53">
        <v>4.747774480712166E-3</v>
      </c>
      <c r="H6" s="53">
        <v>1.4655152857270135E-2</v>
      </c>
      <c r="I6" s="53">
        <v>1.3925435065191703E-2</v>
      </c>
      <c r="J6" s="53">
        <v>1.7292223746296072E-2</v>
      </c>
      <c r="K6" s="53">
        <v>0</v>
      </c>
      <c r="L6" s="53">
        <v>1.3475350728335994E-2</v>
      </c>
      <c r="M6" s="53">
        <v>2.081892470272589E-2</v>
      </c>
      <c r="N6" s="53">
        <v>0</v>
      </c>
      <c r="O6" s="53">
        <v>1.6879086944991684E-2</v>
      </c>
    </row>
    <row r="7" spans="1:15" x14ac:dyDescent="0.35">
      <c r="B7" s="18" t="s">
        <v>56</v>
      </c>
      <c r="C7" s="53">
        <v>1.3728319430841577E-2</v>
      </c>
      <c r="D7" s="53">
        <v>6.6682573509056098E-2</v>
      </c>
      <c r="E7" s="53">
        <v>6.4750291892164455E-2</v>
      </c>
      <c r="F7" s="53">
        <v>8.2369280380332408E-2</v>
      </c>
      <c r="G7" s="53">
        <v>2.5103857566765579E-2</v>
      </c>
      <c r="H7" s="53">
        <v>0.10851573635837182</v>
      </c>
      <c r="I7" s="53">
        <v>7.6003265573176035E-2</v>
      </c>
      <c r="J7" s="53">
        <v>0.12019924007591527</v>
      </c>
      <c r="K7" s="53">
        <v>0</v>
      </c>
      <c r="L7" s="53">
        <v>0.14297104766613505</v>
      </c>
      <c r="M7" s="53">
        <v>0.15476412777973697</v>
      </c>
      <c r="N7" s="53">
        <v>0.17776353443593684</v>
      </c>
      <c r="O7" s="53">
        <v>0.10699441974176691</v>
      </c>
    </row>
    <row r="8" spans="1:15" x14ac:dyDescent="0.35">
      <c r="B8" s="18" t="s">
        <v>57</v>
      </c>
      <c r="C8" s="53">
        <v>0.43017998740003932</v>
      </c>
      <c r="D8" s="53">
        <v>0.37165495162715356</v>
      </c>
      <c r="E8" s="53">
        <v>0.63706958219966814</v>
      </c>
      <c r="F8" s="53">
        <v>0.36274432076606677</v>
      </c>
      <c r="G8" s="53">
        <v>0.25519287833827892</v>
      </c>
      <c r="H8" s="53">
        <v>0.45955222142678692</v>
      </c>
      <c r="I8" s="53">
        <v>0.61596380454685229</v>
      </c>
      <c r="J8" s="53">
        <v>0.56530790113872909</v>
      </c>
      <c r="K8" s="53">
        <v>0.9885323936578424</v>
      </c>
      <c r="L8" s="53">
        <v>0.44790566741095167</v>
      </c>
      <c r="M8" s="53">
        <v>0.47141162481890969</v>
      </c>
      <c r="N8" s="53">
        <v>0.24732317834565126</v>
      </c>
      <c r="O8" s="53">
        <v>0.47688038123592574</v>
      </c>
    </row>
    <row r="9" spans="1:15" x14ac:dyDescent="0.35">
      <c r="B9" s="18" t="s">
        <v>5</v>
      </c>
      <c r="C9" s="53">
        <v>5.191467185977449E-2</v>
      </c>
      <c r="D9" s="53">
        <v>0.25617221746429097</v>
      </c>
      <c r="E9" s="53">
        <v>0.15710678569433981</v>
      </c>
      <c r="F9" s="53">
        <v>0.31152105628212612</v>
      </c>
      <c r="G9" s="53">
        <v>0.19257927359050445</v>
      </c>
      <c r="H9" s="53">
        <v>0.14648632494473499</v>
      </c>
      <c r="I9" s="53">
        <v>6.2921602223360226E-2</v>
      </c>
      <c r="J9" s="53">
        <v>7.1496082596302191E-2</v>
      </c>
      <c r="K9" s="53">
        <v>1.1467606342157585E-2</v>
      </c>
      <c r="L9" s="53">
        <v>8.6625100925146206E-2</v>
      </c>
      <c r="M9" s="53">
        <v>9.2014663578917286E-2</v>
      </c>
      <c r="N9" s="53">
        <v>0.27657970333897003</v>
      </c>
      <c r="O9" s="53">
        <v>0.1343063384200818</v>
      </c>
    </row>
    <row r="10" spans="1:15" x14ac:dyDescent="0.35">
      <c r="B10" s="18" t="s">
        <v>58</v>
      </c>
      <c r="C10" s="53">
        <v>5.593540752159392E-2</v>
      </c>
      <c r="D10" s="53">
        <v>2.2489534427919306E-2</v>
      </c>
      <c r="E10" s="53">
        <v>2.4946241432008437E-2</v>
      </c>
      <c r="F10" s="53">
        <v>5.5456626605195382E-3</v>
      </c>
      <c r="G10" s="53">
        <v>1.4361366172106826E-2</v>
      </c>
      <c r="H10" s="53">
        <v>1.1403193700110434E-2</v>
      </c>
      <c r="I10" s="53">
        <v>2.3002623139551457E-3</v>
      </c>
      <c r="J10" s="53">
        <v>2.0411018525774458E-2</v>
      </c>
      <c r="K10" s="53">
        <v>0</v>
      </c>
      <c r="L10" s="53">
        <v>1.7106412780435939E-2</v>
      </c>
      <c r="M10" s="53">
        <v>1.7578951181852844E-2</v>
      </c>
      <c r="N10" s="53">
        <v>0</v>
      </c>
      <c r="O10" s="53">
        <v>1.7572172078048811E-2</v>
      </c>
    </row>
    <row r="11" spans="1:15" x14ac:dyDescent="0.35">
      <c r="B11" s="18" t="s">
        <v>59</v>
      </c>
      <c r="C11" s="53">
        <v>0</v>
      </c>
      <c r="D11" s="53">
        <v>0</v>
      </c>
      <c r="E11" s="53">
        <v>9.7966165063880807E-6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5.1671731103896899E-7</v>
      </c>
    </row>
    <row r="12" spans="1:15" x14ac:dyDescent="0.35">
      <c r="B12" s="23"/>
      <c r="C12" s="21">
        <v>1.0000000000000002</v>
      </c>
      <c r="D12" s="21">
        <v>1</v>
      </c>
      <c r="E12" s="21">
        <v>0.99999999999999989</v>
      </c>
      <c r="F12" s="21">
        <v>1</v>
      </c>
      <c r="G12" s="21">
        <v>1</v>
      </c>
      <c r="H12" s="21">
        <v>1</v>
      </c>
      <c r="I12" s="21">
        <v>1</v>
      </c>
      <c r="J12" s="21">
        <v>1</v>
      </c>
      <c r="K12" s="21">
        <v>1</v>
      </c>
      <c r="L12" s="21">
        <v>1</v>
      </c>
      <c r="M12" s="21">
        <v>1.0000000000000002</v>
      </c>
      <c r="N12" s="21">
        <v>1</v>
      </c>
      <c r="O12" s="21">
        <v>0.99999999999999989</v>
      </c>
    </row>
    <row r="13" spans="1:15" x14ac:dyDescent="0.35">
      <c r="C13" s="30"/>
      <c r="D13" s="30"/>
      <c r="E13" s="30"/>
      <c r="F13" s="30"/>
      <c r="G13" s="30"/>
      <c r="H13" s="30"/>
      <c r="I13" s="30"/>
      <c r="J13" s="30"/>
      <c r="K13" s="30"/>
    </row>
    <row r="17" spans="2:11" x14ac:dyDescent="0.35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1" x14ac:dyDescent="0.35"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2:11" x14ac:dyDescent="0.35"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2:11" x14ac:dyDescent="0.35"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2:11" x14ac:dyDescent="0.35"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2:11" x14ac:dyDescent="0.35"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2:11" x14ac:dyDescent="0.35"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2:11" x14ac:dyDescent="0.35"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2:11" x14ac:dyDescent="0.35"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2:11" x14ac:dyDescent="0.35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2:11" x14ac:dyDescent="0.35">
      <c r="B27" s="28"/>
      <c r="C27" s="28"/>
      <c r="D27" s="28"/>
      <c r="E27" s="28"/>
      <c r="F27" s="28"/>
      <c r="G27" s="28"/>
      <c r="H27" s="28"/>
      <c r="I27" s="28"/>
      <c r="J27" s="28"/>
      <c r="K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F10" sqref="F10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24 November 2023</v>
      </c>
    </row>
    <row r="2" spans="1:13" x14ac:dyDescent="0.35">
      <c r="A2" s="17"/>
      <c r="B2" s="18" t="s">
        <v>40</v>
      </c>
      <c r="C2" s="18" t="s">
        <v>77</v>
      </c>
      <c r="D2" s="57" t="s">
        <v>81</v>
      </c>
      <c r="E2" s="57" t="s">
        <v>52</v>
      </c>
      <c r="K2" s="15"/>
      <c r="L2" s="15"/>
    </row>
    <row r="3" spans="1:13" x14ac:dyDescent="0.35">
      <c r="B3" s="18" t="s">
        <v>53</v>
      </c>
      <c r="C3" s="51">
        <v>544814011</v>
      </c>
      <c r="D3" s="50">
        <v>0</v>
      </c>
      <c r="E3" s="60">
        <f>SUM(C3:D3)</f>
        <v>544814011</v>
      </c>
      <c r="K3" s="15"/>
      <c r="L3" s="15"/>
      <c r="M3" s="54"/>
    </row>
    <row r="4" spans="1:13" x14ac:dyDescent="0.35">
      <c r="B4" s="18" t="s">
        <v>73</v>
      </c>
      <c r="C4" s="51">
        <v>54224000000</v>
      </c>
      <c r="D4" s="50">
        <v>16473001000</v>
      </c>
      <c r="E4" s="60">
        <f t="shared" ref="E4:E11" si="0">SUM(C4:D4)</f>
        <v>70697001000</v>
      </c>
      <c r="K4" s="15"/>
      <c r="L4" s="15"/>
      <c r="M4" s="54"/>
    </row>
    <row r="5" spans="1:13" x14ac:dyDescent="0.35">
      <c r="B5" s="18" t="s">
        <v>54</v>
      </c>
      <c r="C5" s="51">
        <v>651550000</v>
      </c>
      <c r="D5" s="50">
        <v>512000000</v>
      </c>
      <c r="E5" s="60">
        <f t="shared" si="0"/>
        <v>1163550000</v>
      </c>
      <c r="K5" s="15"/>
      <c r="L5" s="15"/>
      <c r="M5" s="54"/>
    </row>
    <row r="6" spans="1:13" x14ac:dyDescent="0.35">
      <c r="B6" s="18" t="s">
        <v>55</v>
      </c>
      <c r="C6" s="51">
        <v>1244100000</v>
      </c>
      <c r="D6" s="50">
        <v>42080000</v>
      </c>
      <c r="E6" s="60">
        <f t="shared" si="0"/>
        <v>1286180000</v>
      </c>
      <c r="K6" s="15"/>
      <c r="L6" s="15"/>
      <c r="M6" s="54"/>
    </row>
    <row r="7" spans="1:13" x14ac:dyDescent="0.35">
      <c r="B7" s="18" t="s">
        <v>56</v>
      </c>
      <c r="C7" s="51">
        <v>47020000</v>
      </c>
      <c r="D7" s="50">
        <v>43414909</v>
      </c>
      <c r="E7" s="60">
        <f t="shared" si="0"/>
        <v>90434909</v>
      </c>
      <c r="K7" s="15"/>
      <c r="L7" s="15"/>
      <c r="M7" s="54"/>
    </row>
    <row r="8" spans="1:13" x14ac:dyDescent="0.35">
      <c r="B8" s="18" t="s">
        <v>57</v>
      </c>
      <c r="C8" s="51">
        <v>830000</v>
      </c>
      <c r="D8" s="50">
        <v>6445694</v>
      </c>
      <c r="E8" s="60">
        <f t="shared" si="0"/>
        <v>7275694</v>
      </c>
      <c r="K8" s="15"/>
      <c r="L8" s="15"/>
      <c r="M8" s="54"/>
    </row>
    <row r="9" spans="1:13" x14ac:dyDescent="0.35">
      <c r="B9" s="18" t="s">
        <v>5</v>
      </c>
      <c r="C9" s="51">
        <v>9531187386</v>
      </c>
      <c r="D9" s="50">
        <v>5946975995</v>
      </c>
      <c r="E9" s="60">
        <f t="shared" si="0"/>
        <v>15478163381</v>
      </c>
      <c r="K9" s="15"/>
      <c r="L9" s="15"/>
      <c r="M9" s="54"/>
    </row>
    <row r="10" spans="1:13" x14ac:dyDescent="0.35">
      <c r="B10" s="18" t="s">
        <v>58</v>
      </c>
      <c r="C10" s="51">
        <v>176498603</v>
      </c>
      <c r="D10" s="50">
        <v>46082402</v>
      </c>
      <c r="E10" s="60">
        <f t="shared" si="0"/>
        <v>222581005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0</v>
      </c>
      <c r="E11" s="60">
        <f t="shared" si="0"/>
        <v>0</v>
      </c>
      <c r="K11" s="15"/>
      <c r="L11" s="15"/>
      <c r="M11" s="54"/>
    </row>
    <row r="12" spans="1:13" x14ac:dyDescent="0.35">
      <c r="B12" s="19"/>
      <c r="C12" s="20">
        <f>SUM(C3:C11)</f>
        <v>66420000000</v>
      </c>
      <c r="D12" s="20">
        <f t="shared" ref="D12:E12" si="1">SUM(D3:D11)</f>
        <v>23070000000</v>
      </c>
      <c r="E12" s="20">
        <f t="shared" si="1"/>
        <v>89490000000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D22" sqref="D22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24 November 2023</v>
      </c>
    </row>
    <row r="3" spans="1:5" ht="13" x14ac:dyDescent="0.3">
      <c r="B3" s="18" t="s">
        <v>40</v>
      </c>
      <c r="C3" s="22" t="s">
        <v>77</v>
      </c>
      <c r="D3" s="43" t="s">
        <v>81</v>
      </c>
      <c r="E3" s="43" t="s">
        <v>72</v>
      </c>
    </row>
    <row r="4" spans="1:5" ht="13" x14ac:dyDescent="0.3">
      <c r="B4" s="18" t="s">
        <v>53</v>
      </c>
      <c r="C4" s="53">
        <v>8.2025596356519112E-3</v>
      </c>
      <c r="D4" s="53">
        <v>0</v>
      </c>
      <c r="E4" s="53">
        <v>6.0879876075539165E-3</v>
      </c>
    </row>
    <row r="5" spans="1:5" ht="13" x14ac:dyDescent="0.3">
      <c r="B5" s="18" t="s">
        <v>73</v>
      </c>
      <c r="C5" s="53">
        <v>0.81638060825052694</v>
      </c>
      <c r="D5" s="53">
        <v>0.71404425661031645</v>
      </c>
      <c r="E5" s="53">
        <v>0.78999889373114318</v>
      </c>
    </row>
    <row r="6" spans="1:5" ht="13" x14ac:dyDescent="0.3">
      <c r="B6" s="18" t="s">
        <v>54</v>
      </c>
      <c r="C6" s="53">
        <v>9.8095453176753993E-3</v>
      </c>
      <c r="D6" s="53">
        <v>2.2193324664065886E-2</v>
      </c>
      <c r="E6" s="53">
        <v>1.3002011397921556E-2</v>
      </c>
    </row>
    <row r="7" spans="1:5" ht="13" x14ac:dyDescent="0.3">
      <c r="B7" s="18" t="s">
        <v>55</v>
      </c>
      <c r="C7" s="53">
        <v>1.8730803974706414E-2</v>
      </c>
      <c r="D7" s="53">
        <v>1.824013870827915E-3</v>
      </c>
      <c r="E7" s="53">
        <v>1.4372332104145714E-2</v>
      </c>
    </row>
    <row r="8" spans="1:5" ht="13" x14ac:dyDescent="0.3">
      <c r="B8" s="18" t="s">
        <v>56</v>
      </c>
      <c r="C8" s="53">
        <v>7.0791930141523641E-4</v>
      </c>
      <c r="D8" s="53">
        <v>1.8818772865192891E-3</v>
      </c>
      <c r="E8" s="53">
        <v>1.0105588222147726E-3</v>
      </c>
    </row>
    <row r="9" spans="1:5" ht="13" x14ac:dyDescent="0.3">
      <c r="B9" s="18" t="s">
        <v>57</v>
      </c>
      <c r="C9" s="53">
        <v>1.2496236073471845E-5</v>
      </c>
      <c r="D9" s="53">
        <v>2.79397225834417E-4</v>
      </c>
      <c r="E9" s="53">
        <v>8.130175438596491E-5</v>
      </c>
    </row>
    <row r="10" spans="1:5" ht="13" x14ac:dyDescent="0.3">
      <c r="B10" s="18" t="s">
        <v>5</v>
      </c>
      <c r="C10" s="53">
        <v>0.1434987561878952</v>
      </c>
      <c r="D10" s="53">
        <v>0.25777962700476809</v>
      </c>
      <c r="E10" s="53">
        <v>0.17295969807799755</v>
      </c>
    </row>
    <row r="11" spans="1:5" ht="13" x14ac:dyDescent="0.3">
      <c r="B11" s="18" t="s">
        <v>58</v>
      </c>
      <c r="C11" s="53">
        <v>2.6573110960554048E-3</v>
      </c>
      <c r="D11" s="53">
        <v>1.9975033376679672E-3</v>
      </c>
      <c r="E11" s="53">
        <v>2.4872165046373896E-3</v>
      </c>
    </row>
    <row r="12" spans="1:5" ht="13" x14ac:dyDescent="0.3">
      <c r="B12" s="18" t="s">
        <v>59</v>
      </c>
      <c r="C12" s="53">
        <v>0</v>
      </c>
      <c r="D12" s="53">
        <v>0</v>
      </c>
      <c r="E12" s="53">
        <v>0</v>
      </c>
    </row>
    <row r="13" spans="1:5" ht="13" x14ac:dyDescent="0.3">
      <c r="B13" s="23"/>
      <c r="C13" s="21">
        <f>SUM(C4:C12)</f>
        <v>0.99999999999999989</v>
      </c>
      <c r="D13" s="21">
        <f t="shared" ref="D13:E13" si="0">SUM(D4:D12)</f>
        <v>1</v>
      </c>
      <c r="E13" s="21">
        <f t="shared" si="0"/>
        <v>0.99999999999999989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Zine Mbatha</cp:lastModifiedBy>
  <dcterms:created xsi:type="dcterms:W3CDTF">2016-03-09T09:54:02Z</dcterms:created>
  <dcterms:modified xsi:type="dcterms:W3CDTF">2023-12-05T09:47:15Z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