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13_ncr:1_{FCD651E4-8E52-4153-AF59-FAEF0FA0D7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7" l="1"/>
  <c r="D13" i="7"/>
  <c r="C13" i="7"/>
  <c r="E4" i="6"/>
  <c r="E5" i="6"/>
  <c r="E6" i="6"/>
  <c r="E7" i="6"/>
  <c r="E8" i="6"/>
  <c r="E9" i="6"/>
  <c r="E10" i="6"/>
  <c r="E11" i="6"/>
  <c r="E3" i="6"/>
  <c r="D12" i="6"/>
  <c r="C12" i="6"/>
  <c r="E12" i="5"/>
  <c r="F12" i="5"/>
  <c r="G12" i="5"/>
  <c r="H12" i="5"/>
  <c r="I12" i="5"/>
  <c r="J12" i="5"/>
  <c r="K12" i="5"/>
  <c r="L12" i="5"/>
  <c r="M12" i="5"/>
  <c r="N12" i="5"/>
  <c r="D12" i="5"/>
  <c r="N4" i="4"/>
  <c r="N5" i="4"/>
  <c r="N6" i="4"/>
  <c r="N7" i="4"/>
  <c r="N8" i="4"/>
  <c r="N9" i="4"/>
  <c r="N10" i="4"/>
  <c r="N11" i="4"/>
  <c r="N3" i="4"/>
  <c r="E12" i="4"/>
  <c r="F12" i="4"/>
  <c r="G12" i="4"/>
  <c r="H12" i="4"/>
  <c r="I12" i="4"/>
  <c r="J12" i="4"/>
  <c r="K12" i="4"/>
  <c r="L12" i="4"/>
  <c r="M12" i="4"/>
  <c r="D12" i="4"/>
  <c r="E12" i="3"/>
  <c r="F12" i="3"/>
  <c r="G12" i="3"/>
  <c r="H12" i="3"/>
  <c r="I12" i="3"/>
  <c r="J12" i="3"/>
  <c r="K12" i="3"/>
  <c r="L12" i="3"/>
  <c r="M12" i="3"/>
  <c r="N12" i="3"/>
  <c r="O12" i="3"/>
  <c r="P12" i="3"/>
  <c r="D12" i="3"/>
  <c r="P4" i="2"/>
  <c r="P5" i="2"/>
  <c r="P6" i="2"/>
  <c r="P7" i="2"/>
  <c r="P8" i="2"/>
  <c r="P9" i="2"/>
  <c r="P10" i="2"/>
  <c r="P11" i="2"/>
  <c r="P3" i="2"/>
  <c r="E12" i="2"/>
  <c r="F12" i="2"/>
  <c r="G12" i="2"/>
  <c r="H12" i="2"/>
  <c r="I12" i="2"/>
  <c r="J12" i="2"/>
  <c r="K12" i="2"/>
  <c r="L12" i="2"/>
  <c r="M12" i="2"/>
  <c r="N12" i="2"/>
  <c r="O12" i="2"/>
  <c r="D12" i="2"/>
  <c r="E12" i="6" l="1"/>
  <c r="N12" i="4"/>
  <c r="P12" i="2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<sst xmlns="http://schemas.openxmlformats.org/spreadsheetml/2006/main" count="287" uniqueCount="83">
  <si>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</si>
  <si>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</si>
  <si>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</si>
  <si>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</si>
  <si>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</si>
  <si>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</si>
  <si>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</si>
  <si>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</si>
  <si>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</si>
  <si>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</si>
  <si>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</si>
  <si>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</si>
  <si>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</si>
  <si>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</si>
  <si>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</si>
  <si>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</si>
  <si>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</si>
  <si>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</si>
  <si>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</si>
  <si>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</si>
  <si>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</si>
  <si>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</si>
  <si>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</si>
  <si>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</si>
  <si>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</si>
  <si>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</si>
  <si>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</si>
  <si>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</si>
  <si>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</si>
  <si>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</si>
  <si>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</si>
  <si>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</si>
  <si>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</si>
  <si>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</si>
  <si>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</si>
  <si>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</si>
  <si>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</si>
  <si>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</si>
  <si>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</si>
  <si>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</si>
  <si>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</si>
  <si>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</si>
  <si>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</si>
  <si>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</si>
  <si>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</si>
  <si>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</si>
  <si>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</si>
  <si>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</si>
  <si>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</si>
  <si>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</si>
  <si>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</si>
  <si>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</si>
  <si>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</si>
  <si>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</si>
  <si>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</si>
  <si>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</si>
  <si>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</si>
  <si>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</si>
  <si>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</si>
  <si>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</si>
  <si>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</si>
  <si>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</si>
  <si>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</si>
  <si>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</si>
  <si>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</si>
  <si>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</si>
  <si>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</si>
  <si>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</si>
  <si>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</si>
  <si>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</si>
  <si>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</si>
  <si>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</si>
  <si>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</si>
  <si>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</si>
  <si>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</si>
  <si>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</si>
  <si>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</si>
  <si>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</si>
  <si>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</si>
  <si>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</si>
  <si>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</si>
  <si>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</si>
  <si>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28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</si>
</sst>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1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0" fontId="2" fillId="24" borderId="20" xfId="0" applyFont="1" applyFill="1" applyBorder="1" applyAlignment="1">
      <alignment horizontal="center"/>
    </xf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4"/>
  <sheetViews>
    <sheetView tabSelected="1" workbookViewId="0">
      <pane ySplit="1" topLeftCell="A142" activePane="bottomLeft" state="frozen"/>
      <selection pane="bottomLeft" activeCell="B157" sqref="B157"/>
    </sheetView>
  </sheetViews>
  <sheetFormatPr defaultRowHeight="14.5" x14ac:dyDescent="0.35"/>
  <cols>
    <col min="1" max="1" width="10.1796875" style="67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2" t="s">
        <v>0</v>
      </c>
      <c r="B1" s="62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5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5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5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5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5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6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6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6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6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8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9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4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4" t="s">
        <v>69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6"/>
      <c r="K79" s="38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6"/>
      <c r="K80" s="38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6"/>
      <c r="K81" s="38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6"/>
      <c r="K82" s="38"/>
    </row>
    <row r="83" spans="1:11" x14ac:dyDescent="0.35">
      <c r="A83" s="70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6"/>
      <c r="K83" s="38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7"/>
      <c r="K84" s="38"/>
    </row>
    <row r="85" spans="1:11" x14ac:dyDescent="0.35">
      <c r="A85" s="70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70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3" t="s">
        <v>70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9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3" t="s">
        <v>71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3" t="s">
        <v>74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3" t="s">
        <v>75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3" t="s">
        <v>76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7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0.20365189043416121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3" t="s">
        <v>78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topLeftCell="J1" workbookViewId="0">
      <selection activeCell="Q13" sqref="Q13"/>
    </sheetView>
  </sheetViews>
  <sheetFormatPr defaultRowHeight="14.5" x14ac:dyDescent="0.35"/>
  <cols>
    <col min="1" max="1" width="19.7265625" style="15" bestFit="1" customWidth="1"/>
    <col min="2" max="2" width="9.1796875" style="15" customWidth="1"/>
    <col min="3" max="3" width="29.7265625" style="16" bestFit="1" customWidth="1"/>
    <col min="4" max="4" width="17.81640625" style="15" bestFit="1" customWidth="1"/>
    <col min="5" max="8" width="18.7265625" style="15" bestFit="1" customWidth="1"/>
    <col min="9" max="9" width="17.81640625" style="15" bestFit="1" customWidth="1"/>
    <col min="10" max="11" width="18.7265625" style="15" bestFit="1" customWidth="1"/>
    <col min="12" max="13" width="17.81640625" style="15" bestFit="1" customWidth="1"/>
    <col min="14" max="14" width="20.453125" style="15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0" t="s">
        <v>82</v>
      </c>
    </row>
    <row r="2" spans="1:17" x14ac:dyDescent="0.35">
      <c r="A2" s="17"/>
      <c r="B2" s="17"/>
      <c r="C2" s="18" t="s">
        <v>40</v>
      </c>
      <c r="D2" s="42" t="s">
        <v>41</v>
      </c>
      <c r="E2" s="42" t="s">
        <v>42</v>
      </c>
      <c r="F2" s="42" t="s">
        <v>43</v>
      </c>
      <c r="G2" s="42" t="s">
        <v>44</v>
      </c>
      <c r="H2" s="42" t="s">
        <v>45</v>
      </c>
      <c r="I2" s="42" t="s">
        <v>46</v>
      </c>
      <c r="J2" s="42" t="s">
        <v>47</v>
      </c>
      <c r="K2" s="42" t="s">
        <v>48</v>
      </c>
      <c r="L2" s="42" t="s">
        <v>49</v>
      </c>
      <c r="M2" s="32" t="s">
        <v>50</v>
      </c>
      <c r="N2" s="32" t="s">
        <v>51</v>
      </c>
      <c r="O2" s="32" t="s">
        <v>79</v>
      </c>
      <c r="P2" s="58" t="s">
        <v>52</v>
      </c>
    </row>
    <row r="3" spans="1:17" x14ac:dyDescent="0.35">
      <c r="C3" s="18" t="s">
        <v>53</v>
      </c>
      <c r="D3" s="52">
        <v>131856729251.89</v>
      </c>
      <c r="E3" s="52">
        <v>108638158596</v>
      </c>
      <c r="F3" s="52">
        <v>60755335725</v>
      </c>
      <c r="G3" s="52">
        <v>87516061369</v>
      </c>
      <c r="H3" s="52">
        <v>104109227125</v>
      </c>
      <c r="I3" s="52">
        <v>28227903045</v>
      </c>
      <c r="J3" s="52">
        <v>87574287346</v>
      </c>
      <c r="K3" s="52">
        <v>58775362601</v>
      </c>
      <c r="L3" s="52">
        <v>45866345067</v>
      </c>
      <c r="M3" s="52">
        <v>56512280970</v>
      </c>
      <c r="N3" s="52">
        <v>90553627174</v>
      </c>
      <c r="O3" s="51">
        <v>2693324776</v>
      </c>
      <c r="P3" s="61">
        <f>SUM(D3:O3)</f>
        <v>863078643045.89001</v>
      </c>
      <c r="Q3" s="56"/>
    </row>
    <row r="4" spans="1:17" x14ac:dyDescent="0.35">
      <c r="C4" s="18" t="s">
        <v>73</v>
      </c>
      <c r="D4" s="52">
        <v>108671345790.09999</v>
      </c>
      <c r="E4" s="52">
        <v>90448366250.529999</v>
      </c>
      <c r="F4" s="52">
        <v>48102567540</v>
      </c>
      <c r="G4" s="52">
        <v>54555287825.199997</v>
      </c>
      <c r="H4" s="52">
        <v>33821828564.799999</v>
      </c>
      <c r="I4" s="52">
        <v>11363045249</v>
      </c>
      <c r="J4" s="52">
        <v>30762170191.689999</v>
      </c>
      <c r="K4" s="52">
        <v>28586740846</v>
      </c>
      <c r="L4" s="52">
        <v>9402332669</v>
      </c>
      <c r="M4" s="52">
        <v>26198066250.099998</v>
      </c>
      <c r="N4" s="52">
        <v>120401791754.58</v>
      </c>
      <c r="O4" s="51">
        <v>1078722079</v>
      </c>
      <c r="P4" s="61">
        <f t="shared" ref="P4:P11" si="0">SUM(D4:O4)</f>
        <v>563392265010</v>
      </c>
    </row>
    <row r="5" spans="1:17" x14ac:dyDescent="0.35">
      <c r="C5" s="18" t="s">
        <v>54</v>
      </c>
      <c r="D5" s="52">
        <v>21856840883.900002</v>
      </c>
      <c r="E5" s="52">
        <v>11207747714</v>
      </c>
      <c r="F5" s="52">
        <v>6252636556</v>
      </c>
      <c r="G5" s="52">
        <v>11361334533</v>
      </c>
      <c r="H5" s="52">
        <v>16646179438</v>
      </c>
      <c r="I5" s="52">
        <v>3590154109</v>
      </c>
      <c r="J5" s="52">
        <v>17967400170</v>
      </c>
      <c r="K5" s="52">
        <v>16478250954</v>
      </c>
      <c r="L5" s="52">
        <v>9478695818</v>
      </c>
      <c r="M5" s="52">
        <v>13464681885</v>
      </c>
      <c r="N5" s="52">
        <v>17012354518</v>
      </c>
      <c r="O5" s="51">
        <v>4068877226</v>
      </c>
      <c r="P5" s="61">
        <f t="shared" si="0"/>
        <v>149385153804.89999</v>
      </c>
    </row>
    <row r="6" spans="1:17" x14ac:dyDescent="0.35">
      <c r="C6" s="18" t="s">
        <v>55</v>
      </c>
      <c r="D6" s="52">
        <v>2524506674</v>
      </c>
      <c r="E6" s="52">
        <v>3257848277</v>
      </c>
      <c r="F6" s="52">
        <v>1047727434</v>
      </c>
      <c r="G6" s="52">
        <v>3094639250</v>
      </c>
      <c r="H6" s="52">
        <v>3105170072</v>
      </c>
      <c r="I6" s="52">
        <v>404045055</v>
      </c>
      <c r="J6" s="52">
        <v>3030851213</v>
      </c>
      <c r="K6" s="52">
        <v>1862756773</v>
      </c>
      <c r="L6" s="52">
        <v>787804246</v>
      </c>
      <c r="M6" s="52">
        <v>1589977069</v>
      </c>
      <c r="N6" s="52">
        <v>3858007072</v>
      </c>
      <c r="O6" s="51">
        <v>22485000</v>
      </c>
      <c r="P6" s="61">
        <f t="shared" si="0"/>
        <v>24585818135</v>
      </c>
    </row>
    <row r="7" spans="1:17" x14ac:dyDescent="0.35">
      <c r="C7" s="18" t="s">
        <v>56</v>
      </c>
      <c r="D7" s="52">
        <v>2072720473.73</v>
      </c>
      <c r="E7" s="52">
        <v>7499167011</v>
      </c>
      <c r="F7" s="52">
        <v>4413027735</v>
      </c>
      <c r="G7" s="52">
        <v>11320118762</v>
      </c>
      <c r="H7" s="52">
        <v>11364069196</v>
      </c>
      <c r="I7" s="52">
        <v>4582065185</v>
      </c>
      <c r="J7" s="52">
        <v>8407466963</v>
      </c>
      <c r="K7" s="52">
        <v>10012343637</v>
      </c>
      <c r="L7" s="52">
        <v>2920313880</v>
      </c>
      <c r="M7" s="52">
        <v>12985881397</v>
      </c>
      <c r="N7" s="52">
        <v>12956494561</v>
      </c>
      <c r="O7" s="51">
        <v>667300549</v>
      </c>
      <c r="P7" s="61">
        <f t="shared" si="0"/>
        <v>89200969349.729996</v>
      </c>
    </row>
    <row r="8" spans="1:17" x14ac:dyDescent="0.35">
      <c r="C8" s="18" t="s">
        <v>57</v>
      </c>
      <c r="D8" s="52">
        <v>26892529067.510002</v>
      </c>
      <c r="E8" s="52">
        <v>48925593456</v>
      </c>
      <c r="F8" s="52">
        <v>18720290121</v>
      </c>
      <c r="G8" s="52">
        <v>40908304914</v>
      </c>
      <c r="H8" s="52">
        <v>36982081243</v>
      </c>
      <c r="I8" s="52">
        <v>15200796982</v>
      </c>
      <c r="J8" s="52">
        <v>53011398990</v>
      </c>
      <c r="K8" s="52">
        <v>35231402186</v>
      </c>
      <c r="L8" s="52">
        <v>9190605941</v>
      </c>
      <c r="M8" s="52">
        <v>44913045027</v>
      </c>
      <c r="N8" s="52">
        <v>61366319349</v>
      </c>
      <c r="O8" s="51">
        <v>325068071</v>
      </c>
      <c r="P8" s="61">
        <f t="shared" si="0"/>
        <v>391667435347.51001</v>
      </c>
    </row>
    <row r="9" spans="1:17" x14ac:dyDescent="0.35">
      <c r="C9" s="18" t="s">
        <v>5</v>
      </c>
      <c r="D9" s="52">
        <v>68150337772.759995</v>
      </c>
      <c r="E9" s="52">
        <v>80135294500.470001</v>
      </c>
      <c r="F9" s="52">
        <v>36946182454</v>
      </c>
      <c r="G9" s="52">
        <v>89474369257</v>
      </c>
      <c r="H9" s="52">
        <v>73533586513.199997</v>
      </c>
      <c r="I9" s="52">
        <v>36682257988</v>
      </c>
      <c r="J9" s="52">
        <v>64522534604</v>
      </c>
      <c r="K9" s="52">
        <v>56366650540</v>
      </c>
      <c r="L9" s="52">
        <v>14069328324</v>
      </c>
      <c r="M9" s="52">
        <v>70979600690</v>
      </c>
      <c r="N9" s="52">
        <v>59265267320.419998</v>
      </c>
      <c r="O9" s="51">
        <v>5506539293</v>
      </c>
      <c r="P9" s="61">
        <f t="shared" si="0"/>
        <v>655631949256.84998</v>
      </c>
    </row>
    <row r="10" spans="1:17" x14ac:dyDescent="0.35">
      <c r="C10" s="18" t="s">
        <v>58</v>
      </c>
      <c r="D10" s="52">
        <v>15792404807</v>
      </c>
      <c r="E10" s="52">
        <v>12446927794.1</v>
      </c>
      <c r="F10" s="52">
        <v>2673709571</v>
      </c>
      <c r="G10" s="52">
        <v>5202074790</v>
      </c>
      <c r="H10" s="52">
        <v>4878385691</v>
      </c>
      <c r="I10" s="52">
        <v>2600801035</v>
      </c>
      <c r="J10" s="52">
        <v>3777922662.3099999</v>
      </c>
      <c r="K10" s="52">
        <v>4614172243</v>
      </c>
      <c r="L10" s="52">
        <v>1664343041</v>
      </c>
      <c r="M10" s="52">
        <v>2225029346</v>
      </c>
      <c r="N10" s="52">
        <v>3308527409</v>
      </c>
      <c r="O10" s="51">
        <v>259683006</v>
      </c>
      <c r="P10" s="61">
        <f t="shared" si="0"/>
        <v>59443981395.409996</v>
      </c>
    </row>
    <row r="11" spans="1:17" x14ac:dyDescent="0.35">
      <c r="A11" s="17"/>
      <c r="B11" s="17"/>
      <c r="C11" s="19" t="s">
        <v>59</v>
      </c>
      <c r="D11" s="53">
        <v>317341518</v>
      </c>
      <c r="E11" s="53">
        <v>604556431.90002441</v>
      </c>
      <c r="F11" s="53">
        <v>19684108</v>
      </c>
      <c r="G11" s="53">
        <v>881713671.79998779</v>
      </c>
      <c r="H11" s="53">
        <v>1040739021</v>
      </c>
      <c r="I11" s="53">
        <v>1611483497</v>
      </c>
      <c r="J11" s="53">
        <v>58699781</v>
      </c>
      <c r="K11" s="53">
        <v>587749553</v>
      </c>
      <c r="L11" s="53">
        <v>2087510</v>
      </c>
      <c r="M11" s="53">
        <v>12948306.899993896</v>
      </c>
      <c r="N11" s="53">
        <v>202401000</v>
      </c>
      <c r="O11" s="51">
        <v>0</v>
      </c>
      <c r="P11" s="61">
        <f t="shared" si="0"/>
        <v>5339404398.6000061</v>
      </c>
    </row>
    <row r="12" spans="1:17" x14ac:dyDescent="0.35">
      <c r="C12" s="19"/>
      <c r="D12" s="20">
        <f>SUM(D3:D11)</f>
        <v>378134756238.89001</v>
      </c>
      <c r="E12" s="20">
        <f t="shared" ref="E12:P12" si="1">SUM(E3:E11)</f>
        <v>363163660031</v>
      </c>
      <c r="F12" s="20">
        <f t="shared" si="1"/>
        <v>178931161244</v>
      </c>
      <c r="G12" s="20">
        <f t="shared" si="1"/>
        <v>304313904372</v>
      </c>
      <c r="H12" s="20">
        <f t="shared" si="1"/>
        <v>285481266864</v>
      </c>
      <c r="I12" s="20">
        <f t="shared" si="1"/>
        <v>104262552145</v>
      </c>
      <c r="J12" s="20">
        <f t="shared" si="1"/>
        <v>269112731921</v>
      </c>
      <c r="K12" s="20">
        <f t="shared" si="1"/>
        <v>212515429333</v>
      </c>
      <c r="L12" s="20">
        <f t="shared" si="1"/>
        <v>93381856496</v>
      </c>
      <c r="M12" s="20">
        <f t="shared" si="1"/>
        <v>228881510941</v>
      </c>
      <c r="N12" s="20">
        <f t="shared" si="1"/>
        <v>368924790158</v>
      </c>
      <c r="O12" s="20">
        <f t="shared" si="1"/>
        <v>14622000000</v>
      </c>
      <c r="P12" s="20">
        <f t="shared" si="1"/>
        <v>2801725619743.8901</v>
      </c>
    </row>
    <row r="13" spans="1:17" x14ac:dyDescent="0.35">
      <c r="N13"/>
    </row>
    <row r="15" spans="1:17" x14ac:dyDescent="0.35"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27" spans="4:15" x14ac:dyDescent="0.35"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topLeftCell="D1" workbookViewId="0">
      <selection activeCell="D12" sqref="D12:P12"/>
    </sheetView>
  </sheetViews>
  <sheetFormatPr defaultColWidth="9.1796875" defaultRowHeight="14.5" x14ac:dyDescent="0.35"/>
  <cols>
    <col min="1" max="1" width="19.7265625" style="15" bestFit="1" customWidth="1"/>
    <col min="2" max="2" width="9.1796875" style="15" customWidth="1"/>
    <col min="3" max="3" width="29.7265625" style="15" bestFit="1" customWidth="1"/>
    <col min="4" max="9" width="12" style="15" bestFit="1" customWidth="1"/>
    <col min="10" max="10" width="11" style="15" bestFit="1" customWidth="1"/>
    <col min="11" max="11" width="12" style="15" bestFit="1" customWidth="1"/>
    <col min="12" max="12" width="12" style="15" customWidth="1"/>
    <col min="13" max="13" width="11" style="15" bestFit="1" customWidth="1"/>
    <col min="14" max="15" width="12" style="15" bestFit="1" customWidth="1"/>
    <col min="16" max="16" width="11.36328125" style="29" bestFit="1" customWidth="1"/>
    <col min="17" max="16384" width="9.1796875" style="29"/>
  </cols>
  <sheetData>
    <row r="1" spans="1:16" ht="15" thickBot="1" x14ac:dyDescent="0.4">
      <c r="A1" s="40" t="str">
        <f>'Fixed rate bond (Values)'!A1</f>
        <v>28 July 2023</v>
      </c>
    </row>
    <row r="2" spans="1:16" ht="15" thickBot="1" x14ac:dyDescent="0.4">
      <c r="A2" s="17"/>
      <c r="B2" s="17"/>
      <c r="C2" s="45" t="s">
        <v>40</v>
      </c>
      <c r="D2" s="46" t="s">
        <v>41</v>
      </c>
      <c r="E2" s="46" t="s">
        <v>42</v>
      </c>
      <c r="F2" s="46" t="s">
        <v>43</v>
      </c>
      <c r="G2" s="46" t="s">
        <v>44</v>
      </c>
      <c r="H2" s="46" t="s">
        <v>45</v>
      </c>
      <c r="I2" s="46" t="s">
        <v>46</v>
      </c>
      <c r="J2" s="46" t="s">
        <v>47</v>
      </c>
      <c r="K2" s="46" t="s">
        <v>48</v>
      </c>
      <c r="L2" s="46" t="s">
        <v>49</v>
      </c>
      <c r="M2" s="46" t="s">
        <v>50</v>
      </c>
      <c r="N2" s="46" t="s">
        <v>51</v>
      </c>
      <c r="O2" s="46" t="s">
        <v>79</v>
      </c>
      <c r="P2" s="46" t="s">
        <v>72</v>
      </c>
    </row>
    <row r="3" spans="1:16" x14ac:dyDescent="0.35">
      <c r="C3" s="47" t="s">
        <v>53</v>
      </c>
      <c r="D3" s="59">
        <v>0.34870301414077981</v>
      </c>
      <c r="E3" s="59">
        <v>0.29914380361384874</v>
      </c>
      <c r="F3" s="59">
        <v>0.33954586390992458</v>
      </c>
      <c r="G3" s="59">
        <v>0.28758482642981192</v>
      </c>
      <c r="H3" s="59">
        <v>0.36467971530544047</v>
      </c>
      <c r="I3" s="59">
        <v>0.27073865414058629</v>
      </c>
      <c r="J3" s="59">
        <v>0.32541859584595229</v>
      </c>
      <c r="K3" s="59">
        <v>0.27656986029424829</v>
      </c>
      <c r="L3" s="59">
        <v>0.49116977096042935</v>
      </c>
      <c r="M3" s="59">
        <v>0.24690627363329259</v>
      </c>
      <c r="N3" s="59">
        <v>0.24545281203580399</v>
      </c>
      <c r="O3" s="59">
        <v>0.18419674299001504</v>
      </c>
      <c r="P3" s="59">
        <v>0.30805252197564775</v>
      </c>
    </row>
    <row r="4" spans="1:16" x14ac:dyDescent="0.35">
      <c r="C4" s="48" t="s">
        <v>73</v>
      </c>
      <c r="D4" s="59">
        <v>0.28738787957763368</v>
      </c>
      <c r="E4" s="59">
        <v>0.2490567647732409</v>
      </c>
      <c r="F4" s="59">
        <v>0.26883281372328877</v>
      </c>
      <c r="G4" s="59">
        <v>0.17927306981842805</v>
      </c>
      <c r="H4" s="59">
        <v>0.11847302254306</v>
      </c>
      <c r="I4" s="59">
        <v>0.10898491371280829</v>
      </c>
      <c r="J4" s="59">
        <v>0.11430960539139581</v>
      </c>
      <c r="K4" s="59">
        <v>0.13451607224812909</v>
      </c>
      <c r="L4" s="59">
        <v>0.10068693236359835</v>
      </c>
      <c r="M4" s="59">
        <v>0.11446126051157192</v>
      </c>
      <c r="N4" s="59">
        <v>0.32635863722526032</v>
      </c>
      <c r="O4" s="60">
        <v>7.3773907741758987E-2</v>
      </c>
      <c r="P4" s="60">
        <v>0.20108759438816873</v>
      </c>
    </row>
    <row r="5" spans="1:16" x14ac:dyDescent="0.35">
      <c r="C5" s="48" t="s">
        <v>54</v>
      </c>
      <c r="D5" s="59">
        <v>5.7801724182401648E-2</v>
      </c>
      <c r="E5" s="59">
        <v>3.0861424056149493E-2</v>
      </c>
      <c r="F5" s="59">
        <v>3.4944369178231474E-2</v>
      </c>
      <c r="G5" s="59">
        <v>3.7334260346880685E-2</v>
      </c>
      <c r="H5" s="59">
        <v>5.8309183018758454E-2</v>
      </c>
      <c r="I5" s="59">
        <v>3.4433783128645284E-2</v>
      </c>
      <c r="J5" s="59">
        <v>6.6765329316616884E-2</v>
      </c>
      <c r="K5" s="59">
        <v>7.7539080365687171E-2</v>
      </c>
      <c r="L5" s="59">
        <v>0.10150468381838199</v>
      </c>
      <c r="M5" s="59">
        <v>5.8828176332997306E-2</v>
      </c>
      <c r="N5" s="59">
        <v>4.611334063702819E-2</v>
      </c>
      <c r="O5" s="60">
        <v>0.27827090863083026</v>
      </c>
      <c r="P5" s="60">
        <v>5.3318980542625551E-2</v>
      </c>
    </row>
    <row r="6" spans="1:16" x14ac:dyDescent="0.35">
      <c r="C6" s="48" t="s">
        <v>55</v>
      </c>
      <c r="D6" s="59">
        <v>6.67620902957971E-3</v>
      </c>
      <c r="E6" s="59">
        <v>8.9707441452757334E-3</v>
      </c>
      <c r="F6" s="59">
        <v>5.8554777530966974E-3</v>
      </c>
      <c r="G6" s="59">
        <v>1.0169233825796684E-2</v>
      </c>
      <c r="H6" s="59">
        <v>1.0876966135502221E-2</v>
      </c>
      <c r="I6" s="59">
        <v>3.8752653439567309E-3</v>
      </c>
      <c r="J6" s="59">
        <v>1.1262385065786217E-2</v>
      </c>
      <c r="K6" s="59">
        <v>8.7652777911064635E-3</v>
      </c>
      <c r="L6" s="59">
        <v>8.4363737835276981E-3</v>
      </c>
      <c r="M6" s="59">
        <v>6.9467256768060079E-3</v>
      </c>
      <c r="N6" s="59">
        <v>1.0457435160016558E-2</v>
      </c>
      <c r="O6" s="60">
        <v>1.5377513336068938E-3</v>
      </c>
      <c r="P6" s="60">
        <v>8.7752412162499429E-3</v>
      </c>
    </row>
    <row r="7" spans="1:16" x14ac:dyDescent="0.35">
      <c r="C7" s="48" t="s">
        <v>56</v>
      </c>
      <c r="D7" s="59">
        <v>5.4814333766783933E-3</v>
      </c>
      <c r="E7" s="59">
        <v>2.0649552354329352E-2</v>
      </c>
      <c r="F7" s="59">
        <v>2.4663271083241681E-2</v>
      </c>
      <c r="G7" s="59">
        <v>3.7198822003749257E-2</v>
      </c>
      <c r="H7" s="59">
        <v>3.9806707181994229E-2</v>
      </c>
      <c r="I7" s="59">
        <v>4.3947372193878689E-2</v>
      </c>
      <c r="J7" s="59">
        <v>3.1241431436503247E-2</v>
      </c>
      <c r="K7" s="59">
        <v>4.7113490387143644E-2</v>
      </c>
      <c r="L7" s="59">
        <v>3.1272818827767591E-2</v>
      </c>
      <c r="M7" s="59">
        <v>5.6736262110518132E-2</v>
      </c>
      <c r="N7" s="59">
        <v>3.5119609488565684E-2</v>
      </c>
      <c r="O7" s="60">
        <v>4.5636749350294076E-2</v>
      </c>
      <c r="P7" s="60">
        <v>3.1837867605994906E-2</v>
      </c>
    </row>
    <row r="8" spans="1:16" x14ac:dyDescent="0.35">
      <c r="C8" s="48" t="s">
        <v>57</v>
      </c>
      <c r="D8" s="59">
        <v>7.111890304661761E-2</v>
      </c>
      <c r="E8" s="59">
        <v>0.13472050989855006</v>
      </c>
      <c r="F8" s="59">
        <v>0.1046228616125283</v>
      </c>
      <c r="G8" s="59">
        <v>0.13442798480871512</v>
      </c>
      <c r="H8" s="59">
        <v>0.12954293516084836</v>
      </c>
      <c r="I8" s="59">
        <v>0.14579344807194006</v>
      </c>
      <c r="J8" s="59">
        <v>0.19698584534291705</v>
      </c>
      <c r="K8" s="59">
        <v>0.16578279655541778</v>
      </c>
      <c r="L8" s="59">
        <v>9.8419610466768545E-2</v>
      </c>
      <c r="M8" s="59">
        <v>0.19622836655677914</v>
      </c>
      <c r="N8" s="59">
        <v>0.16633829166838734</v>
      </c>
      <c r="O8" s="60">
        <v>2.2231436944330461E-2</v>
      </c>
      <c r="P8" s="60">
        <v>0.13979507221813994</v>
      </c>
    </row>
    <row r="9" spans="1:16" x14ac:dyDescent="0.35">
      <c r="C9" s="48" t="s">
        <v>5</v>
      </c>
      <c r="D9" s="59">
        <v>0.18022764807608802</v>
      </c>
      <c r="E9" s="59">
        <v>0.22065890208736627</v>
      </c>
      <c r="F9" s="59">
        <v>0.20648266180767827</v>
      </c>
      <c r="G9" s="59">
        <v>0.29401998387699224</v>
      </c>
      <c r="H9" s="59">
        <v>0.25757762434279285</v>
      </c>
      <c r="I9" s="59">
        <v>0.35182582080846492</v>
      </c>
      <c r="J9" s="59">
        <v>0.23976024524525677</v>
      </c>
      <c r="K9" s="59">
        <v>0.26523556768048384</v>
      </c>
      <c r="L9" s="59">
        <v>0.15066447436288288</v>
      </c>
      <c r="M9" s="59">
        <v>0.31011504773007542</v>
      </c>
      <c r="N9" s="59">
        <v>0.16064322295890815</v>
      </c>
      <c r="O9" s="60">
        <v>0.37659275700998496</v>
      </c>
      <c r="P9" s="60">
        <v>0.23401004889150503</v>
      </c>
    </row>
    <row r="10" spans="1:16" x14ac:dyDescent="0.35">
      <c r="C10" s="48" t="s">
        <v>58</v>
      </c>
      <c r="D10" s="59">
        <v>4.1763959928145314E-2</v>
      </c>
      <c r="E10" s="59">
        <v>3.4273604889425109E-2</v>
      </c>
      <c r="F10" s="59">
        <v>1.4942671541453801E-2</v>
      </c>
      <c r="G10" s="59">
        <v>1.7094436748578103E-2</v>
      </c>
      <c r="H10" s="59">
        <v>1.7088286543593092E-2</v>
      </c>
      <c r="I10" s="59">
        <v>2.4944728298833645E-2</v>
      </c>
      <c r="J10" s="59">
        <v>1.4038438966979223E-2</v>
      </c>
      <c r="K10" s="59">
        <v>2.1712175240555572E-2</v>
      </c>
      <c r="L10" s="59">
        <v>1.7822980860005624E-2</v>
      </c>
      <c r="M10" s="59">
        <v>9.7213153515644073E-3</v>
      </c>
      <c r="N10" s="59">
        <v>8.9680268099713543E-3</v>
      </c>
      <c r="O10" s="60">
        <v>1.775974599917932E-2</v>
      </c>
      <c r="P10" s="60">
        <v>2.121691752272439E-2</v>
      </c>
    </row>
    <row r="11" spans="1:16" x14ac:dyDescent="0.35">
      <c r="C11" s="48" t="s">
        <v>59</v>
      </c>
      <c r="D11" s="59">
        <v>8.3922864207572779E-4</v>
      </c>
      <c r="E11" s="59">
        <v>1.6646941818143888E-3</v>
      </c>
      <c r="F11" s="59">
        <v>1.1000939055639229E-4</v>
      </c>
      <c r="G11" s="59">
        <v>2.8973821410478886E-3</v>
      </c>
      <c r="H11" s="59">
        <v>3.6455597680102635E-3</v>
      </c>
      <c r="I11" s="59">
        <v>1.5456014300886074E-2</v>
      </c>
      <c r="J11" s="59">
        <v>2.1812338859252393E-4</v>
      </c>
      <c r="K11" s="59">
        <v>2.7656794372281964E-3</v>
      </c>
      <c r="L11" s="59">
        <v>2.235455663798479E-5</v>
      </c>
      <c r="M11" s="59">
        <v>5.6572096395027953E-5</v>
      </c>
      <c r="N11" s="59">
        <v>5.4862401605844217E-4</v>
      </c>
      <c r="O11" s="60">
        <v>0</v>
      </c>
      <c r="P11" s="60">
        <v>1.9057556389437196E-3</v>
      </c>
    </row>
    <row r="12" spans="1:16" ht="15" thickBot="1" x14ac:dyDescent="0.4">
      <c r="A12" s="17"/>
      <c r="B12" s="17"/>
      <c r="C12" s="49"/>
      <c r="D12" s="50">
        <f>SUM(D3:D11)</f>
        <v>0.99999999999999989</v>
      </c>
      <c r="E12" s="50">
        <f t="shared" ref="E12:P12" si="0">SUM(E3:E11)</f>
        <v>1</v>
      </c>
      <c r="F12" s="50">
        <f t="shared" si="0"/>
        <v>1.0000000000000002</v>
      </c>
      <c r="G12" s="50">
        <f t="shared" si="0"/>
        <v>0.99999999999999989</v>
      </c>
      <c r="H12" s="50">
        <f t="shared" si="0"/>
        <v>0.99999999999999989</v>
      </c>
      <c r="I12" s="50">
        <f t="shared" si="0"/>
        <v>0.99999999999999989</v>
      </c>
      <c r="J12" s="50">
        <f t="shared" si="0"/>
        <v>1.0000000000000002</v>
      </c>
      <c r="K12" s="50">
        <f t="shared" si="0"/>
        <v>1</v>
      </c>
      <c r="L12" s="50">
        <f t="shared" si="0"/>
        <v>1</v>
      </c>
      <c r="M12" s="50">
        <f t="shared" si="0"/>
        <v>0.99999999999999989</v>
      </c>
      <c r="N12" s="50">
        <f t="shared" si="0"/>
        <v>1</v>
      </c>
      <c r="O12" s="50">
        <f t="shared" si="0"/>
        <v>1</v>
      </c>
      <c r="P12" s="50">
        <f t="shared" si="0"/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topLeftCell="F1" workbookViewId="0">
      <selection activeCell="N3" sqref="N3:N11"/>
    </sheetView>
  </sheetViews>
  <sheetFormatPr defaultColWidth="9.1796875" defaultRowHeight="14.5" x14ac:dyDescent="0.35"/>
  <cols>
    <col min="1" max="1" width="19.7265625" style="15" bestFit="1" customWidth="1"/>
    <col min="2" max="2" width="9.1796875" style="15" customWidth="1"/>
    <col min="3" max="3" width="31.26953125" style="30" customWidth="1"/>
    <col min="4" max="6" width="17.7265625" style="15" bestFit="1" customWidth="1"/>
    <col min="7" max="7" width="16.54296875" style="15" bestFit="1" customWidth="1"/>
    <col min="8" max="11" width="17.7265625" style="15" bestFit="1" customWidth="1"/>
    <col min="12" max="12" width="18.7265625" style="15" bestFit="1" customWidth="1"/>
    <col min="13" max="13" width="18.81640625" style="29" customWidth="1"/>
    <col min="14" max="14" width="15.6328125" style="29" bestFit="1" customWidth="1"/>
    <col min="15" max="16384" width="9.1796875" style="29"/>
  </cols>
  <sheetData>
    <row r="1" spans="1:14" x14ac:dyDescent="0.35">
      <c r="A1" s="40" t="str">
        <f>'Fixed rate bond (Values)'!A1</f>
        <v>28 July 2023</v>
      </c>
      <c r="B1" s="28"/>
      <c r="D1" s="33"/>
      <c r="E1" s="33"/>
      <c r="F1" s="33"/>
      <c r="G1" s="33"/>
      <c r="H1" s="33"/>
      <c r="I1" s="33"/>
      <c r="J1" s="33"/>
      <c r="K1" s="33"/>
    </row>
    <row r="2" spans="1:14" x14ac:dyDescent="0.35">
      <c r="A2" s="17"/>
      <c r="B2" s="17"/>
      <c r="C2" s="18" t="s">
        <v>40</v>
      </c>
      <c r="D2" s="41" t="s">
        <v>60</v>
      </c>
      <c r="E2" s="41" t="s">
        <v>61</v>
      </c>
      <c r="F2" s="41" t="s">
        <v>62</v>
      </c>
      <c r="G2" s="41" t="s">
        <v>68</v>
      </c>
      <c r="H2" s="41" t="s">
        <v>80</v>
      </c>
      <c r="I2" s="41" t="s">
        <v>63</v>
      </c>
      <c r="J2" s="41" t="s">
        <v>64</v>
      </c>
      <c r="K2" s="41" t="s">
        <v>65</v>
      </c>
      <c r="L2" s="41" t="s">
        <v>66</v>
      </c>
      <c r="M2" s="22" t="s">
        <v>67</v>
      </c>
      <c r="N2" s="22" t="s">
        <v>72</v>
      </c>
    </row>
    <row r="3" spans="1:14" x14ac:dyDescent="0.35">
      <c r="C3" s="18" t="s">
        <v>53</v>
      </c>
      <c r="D3" s="52">
        <v>344342594</v>
      </c>
      <c r="E3" s="52">
        <v>1900842612</v>
      </c>
      <c r="F3" s="52">
        <v>518732432</v>
      </c>
      <c r="G3" s="52">
        <v>5575834366</v>
      </c>
      <c r="H3" s="52">
        <v>124000000</v>
      </c>
      <c r="I3" s="52">
        <v>11164919349</v>
      </c>
      <c r="J3" s="52">
        <v>644095735</v>
      </c>
      <c r="K3" s="52">
        <v>3217086570</v>
      </c>
      <c r="L3" s="52">
        <v>5652420839</v>
      </c>
      <c r="M3" s="53">
        <v>2979656301</v>
      </c>
      <c r="N3" s="20">
        <f>SUM(D3:M3)</f>
        <v>32121930798</v>
      </c>
    </row>
    <row r="4" spans="1:14" x14ac:dyDescent="0.35">
      <c r="C4" s="18" t="s">
        <v>73</v>
      </c>
      <c r="D4" s="52">
        <v>10365362054.529999</v>
      </c>
      <c r="E4" s="52">
        <v>14425482495</v>
      </c>
      <c r="F4" s="52">
        <v>2488585873.23</v>
      </c>
      <c r="G4" s="52">
        <v>1746855083</v>
      </c>
      <c r="H4" s="52">
        <v>295150400</v>
      </c>
      <c r="I4" s="52">
        <v>1102647866</v>
      </c>
      <c r="J4" s="52">
        <v>5836280719.9700003</v>
      </c>
      <c r="K4" s="52">
        <v>6495125061</v>
      </c>
      <c r="L4" s="52">
        <v>14220106461.99</v>
      </c>
      <c r="M4" s="53">
        <v>12120360149.370001</v>
      </c>
      <c r="N4" s="20">
        <f t="shared" ref="N4:N11" si="0">SUM(D4:M4)</f>
        <v>69095956164.089996</v>
      </c>
    </row>
    <row r="5" spans="1:14" x14ac:dyDescent="0.35">
      <c r="C5" s="18" t="s">
        <v>54</v>
      </c>
      <c r="D5" s="52">
        <v>492691434.92000002</v>
      </c>
      <c r="E5" s="52">
        <v>3285932967</v>
      </c>
      <c r="F5" s="52">
        <v>1494881226</v>
      </c>
      <c r="G5" s="52">
        <v>2030266207</v>
      </c>
      <c r="H5" s="52">
        <v>68000000</v>
      </c>
      <c r="I5" s="52">
        <v>2244967310</v>
      </c>
      <c r="J5" s="52">
        <v>1248930608</v>
      </c>
      <c r="K5" s="52">
        <v>3479832003</v>
      </c>
      <c r="L5" s="52">
        <v>4925921549</v>
      </c>
      <c r="M5" s="53">
        <v>4942858446</v>
      </c>
      <c r="N5" s="20">
        <f t="shared" si="0"/>
        <v>24214281750.919998</v>
      </c>
    </row>
    <row r="6" spans="1:14" x14ac:dyDescent="0.35">
      <c r="C6" s="18" t="s">
        <v>55</v>
      </c>
      <c r="D6" s="52">
        <v>53689238</v>
      </c>
      <c r="E6" s="52">
        <v>1409095855</v>
      </c>
      <c r="F6" s="52">
        <v>222432253</v>
      </c>
      <c r="G6" s="52">
        <v>1010142517</v>
      </c>
      <c r="H6" s="52">
        <v>8000000</v>
      </c>
      <c r="I6" s="52">
        <v>1559166156</v>
      </c>
      <c r="J6" s="52">
        <v>579384312</v>
      </c>
      <c r="K6" s="52">
        <v>1434639228.7</v>
      </c>
      <c r="L6" s="52">
        <v>1179236539</v>
      </c>
      <c r="M6" s="53">
        <v>1982269465.8099999</v>
      </c>
      <c r="N6" s="20">
        <f t="shared" si="0"/>
        <v>9438055564.5100002</v>
      </c>
    </row>
    <row r="7" spans="1:14" x14ac:dyDescent="0.35">
      <c r="C7" s="18" t="s">
        <v>56</v>
      </c>
      <c r="D7" s="52">
        <v>490125742</v>
      </c>
      <c r="E7" s="52">
        <v>5962636360</v>
      </c>
      <c r="F7" s="52">
        <v>2095876764.75</v>
      </c>
      <c r="G7" s="52">
        <v>5305743184</v>
      </c>
      <c r="H7" s="52">
        <v>20800000</v>
      </c>
      <c r="I7" s="52">
        <v>10175333102</v>
      </c>
      <c r="J7" s="52">
        <v>3459598102.6399999</v>
      </c>
      <c r="K7" s="52">
        <v>12147645262</v>
      </c>
      <c r="L7" s="52">
        <v>13637941960</v>
      </c>
      <c r="M7" s="53">
        <v>19418374817.68</v>
      </c>
      <c r="N7" s="20">
        <f t="shared" si="0"/>
        <v>72714075295.070007</v>
      </c>
    </row>
    <row r="8" spans="1:14" x14ac:dyDescent="0.35">
      <c r="C8" s="18" t="s">
        <v>57</v>
      </c>
      <c r="D8" s="52">
        <v>18016802988</v>
      </c>
      <c r="E8" s="52">
        <v>25795161265</v>
      </c>
      <c r="F8" s="52">
        <v>19222338590</v>
      </c>
      <c r="G8" s="52">
        <v>15660341477</v>
      </c>
      <c r="H8" s="52">
        <v>0</v>
      </c>
      <c r="I8" s="52">
        <v>24922182028</v>
      </c>
      <c r="J8" s="52">
        <v>23116859661</v>
      </c>
      <c r="K8" s="52">
        <v>45278161701</v>
      </c>
      <c r="L8" s="52">
        <v>41343675113</v>
      </c>
      <c r="M8" s="53">
        <v>47763921007</v>
      </c>
      <c r="N8" s="20">
        <f t="shared" si="0"/>
        <v>261119443830</v>
      </c>
    </row>
    <row r="9" spans="1:14" x14ac:dyDescent="0.35">
      <c r="C9" s="18" t="s">
        <v>5</v>
      </c>
      <c r="D9" s="52">
        <v>1510620076.5500002</v>
      </c>
      <c r="E9" s="52">
        <v>13983822041</v>
      </c>
      <c r="F9" s="52">
        <v>2923555223.02</v>
      </c>
      <c r="G9" s="52">
        <v>12438494760</v>
      </c>
      <c r="H9" s="52">
        <v>294049600</v>
      </c>
      <c r="I9" s="52">
        <v>12414522466</v>
      </c>
      <c r="J9" s="52">
        <v>2878954682.3899999</v>
      </c>
      <c r="K9" s="52">
        <v>7316473292.3000002</v>
      </c>
      <c r="L9" s="52">
        <v>9038964416.0099983</v>
      </c>
      <c r="M9" s="53">
        <v>10112622287.139999</v>
      </c>
      <c r="N9" s="20">
        <f t="shared" si="0"/>
        <v>72912078844.410004</v>
      </c>
    </row>
    <row r="10" spans="1:14" x14ac:dyDescent="0.35">
      <c r="C10" s="18" t="s">
        <v>58</v>
      </c>
      <c r="D10" s="52">
        <v>2477499349</v>
      </c>
      <c r="E10" s="52">
        <v>1119620591</v>
      </c>
      <c r="F10" s="52">
        <v>1030201200</v>
      </c>
      <c r="G10" s="52">
        <v>256707095</v>
      </c>
      <c r="H10" s="52">
        <v>0</v>
      </c>
      <c r="I10" s="52">
        <v>373267686</v>
      </c>
      <c r="J10" s="52">
        <v>57026550</v>
      </c>
      <c r="K10" s="52">
        <v>1179373882</v>
      </c>
      <c r="L10" s="52">
        <v>1502098122</v>
      </c>
      <c r="M10" s="53">
        <v>1895159526</v>
      </c>
      <c r="N10" s="20">
        <f t="shared" si="0"/>
        <v>9890954001</v>
      </c>
    </row>
    <row r="11" spans="1:14" x14ac:dyDescent="0.35">
      <c r="C11" s="18" t="s">
        <v>59</v>
      </c>
      <c r="D11" s="53">
        <v>6384000.0000038147</v>
      </c>
      <c r="E11" s="53">
        <v>27405813.999992371</v>
      </c>
      <c r="F11" s="53">
        <v>6214000</v>
      </c>
      <c r="G11" s="53">
        <v>615311</v>
      </c>
      <c r="H11" s="53">
        <v>0</v>
      </c>
      <c r="I11" s="53">
        <v>172994037</v>
      </c>
      <c r="J11" s="53">
        <v>20054628</v>
      </c>
      <c r="K11" s="53">
        <v>6663000</v>
      </c>
      <c r="L11" s="53">
        <v>34635000.000015259</v>
      </c>
      <c r="M11" s="53">
        <v>24778000</v>
      </c>
      <c r="N11" s="20">
        <f t="shared" si="0"/>
        <v>299743790.00001144</v>
      </c>
    </row>
    <row r="12" spans="1:14" x14ac:dyDescent="0.35">
      <c r="A12" s="17"/>
      <c r="B12" s="17"/>
      <c r="C12" s="18"/>
      <c r="D12" s="34">
        <f>SUM(D3:D11)</f>
        <v>33757517477</v>
      </c>
      <c r="E12" s="34">
        <f t="shared" ref="E12:N12" si="1">SUM(E3:E11)</f>
        <v>67909999999.999992</v>
      </c>
      <c r="F12" s="34">
        <f t="shared" si="1"/>
        <v>30002817562</v>
      </c>
      <c r="G12" s="34">
        <f t="shared" si="1"/>
        <v>44025000000</v>
      </c>
      <c r="H12" s="34">
        <f t="shared" si="1"/>
        <v>810000000</v>
      </c>
      <c r="I12" s="34">
        <f t="shared" si="1"/>
        <v>64130000000</v>
      </c>
      <c r="J12" s="34">
        <f t="shared" si="1"/>
        <v>37841184999</v>
      </c>
      <c r="K12" s="34">
        <f t="shared" si="1"/>
        <v>80555000000</v>
      </c>
      <c r="L12" s="34">
        <f t="shared" si="1"/>
        <v>91535000000</v>
      </c>
      <c r="M12" s="34">
        <f t="shared" si="1"/>
        <v>101240000000</v>
      </c>
      <c r="N12" s="34">
        <f t="shared" si="1"/>
        <v>551806520038</v>
      </c>
    </row>
    <row r="13" spans="1:14" x14ac:dyDescent="0.35">
      <c r="D13" s="26"/>
      <c r="E13" s="26"/>
      <c r="F13" s="26"/>
      <c r="G13" s="26"/>
      <c r="H13" s="26"/>
      <c r="I13" s="26"/>
      <c r="J13" s="26"/>
      <c r="K13" s="26"/>
      <c r="L13" s="26"/>
      <c r="M13" s="43"/>
    </row>
    <row r="14" spans="1:14" x14ac:dyDescent="0.35">
      <c r="D14" s="35"/>
      <c r="E14" s="35"/>
      <c r="F14" s="35"/>
      <c r="G14" s="35"/>
      <c r="H14" s="35"/>
      <c r="I14" s="35"/>
      <c r="J14" s="35"/>
      <c r="K14" s="35"/>
      <c r="L14" s="35"/>
      <c r="M14" s="43"/>
    </row>
    <row r="15" spans="1:14" x14ac:dyDescent="0.35"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4:13" x14ac:dyDescent="0.35"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4:13" x14ac:dyDescent="0.35"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4:13" x14ac:dyDescent="0.35">
      <c r="D19" s="26"/>
      <c r="E19" s="26"/>
      <c r="F19" s="26"/>
      <c r="G19" s="26"/>
      <c r="H19" s="26"/>
      <c r="I19" s="26"/>
      <c r="J19" s="26"/>
      <c r="K19" s="26"/>
      <c r="L19" s="26"/>
      <c r="M19" s="26"/>
    </row>
    <row r="20" spans="4:13" x14ac:dyDescent="0.35"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4:13" x14ac:dyDescent="0.35"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4:13" x14ac:dyDescent="0.35"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4:13" x14ac:dyDescent="0.35"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4:13" x14ac:dyDescent="0.35"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B1" workbookViewId="0">
      <selection activeCell="I15" sqref="I15"/>
    </sheetView>
  </sheetViews>
  <sheetFormatPr defaultColWidth="9.1796875" defaultRowHeight="14.5" x14ac:dyDescent="0.35"/>
  <cols>
    <col min="1" max="1" width="18.1796875" style="15" bestFit="1" customWidth="1"/>
    <col min="2" max="2" width="9.1796875" style="15" customWidth="1"/>
    <col min="3" max="3" width="29.7265625" style="15" bestFit="1" customWidth="1"/>
    <col min="4" max="4" width="11" style="15" bestFit="1" customWidth="1"/>
    <col min="5" max="5" width="11.26953125" style="15" bestFit="1" customWidth="1"/>
    <col min="6" max="6" width="11" style="15" bestFit="1" customWidth="1"/>
    <col min="7" max="7" width="11" style="15" customWidth="1"/>
    <col min="8" max="8" width="11" style="15" bestFit="1" customWidth="1"/>
    <col min="9" max="11" width="11.26953125" style="15" bestFit="1" customWidth="1"/>
    <col min="12" max="12" width="11.7265625" style="29" customWidth="1"/>
    <col min="13" max="16384" width="9.1796875" style="29"/>
  </cols>
  <sheetData>
    <row r="1" spans="1:14" x14ac:dyDescent="0.35">
      <c r="A1" s="40" t="str">
        <f>'Fixed rate bond (Values)'!A1</f>
        <v>28 July 2023</v>
      </c>
      <c r="B1" s="28"/>
    </row>
    <row r="2" spans="1:14" x14ac:dyDescent="0.35">
      <c r="A2" s="17"/>
      <c r="B2" s="17"/>
      <c r="C2" s="18"/>
      <c r="D2" s="22" t="s">
        <v>60</v>
      </c>
      <c r="E2" s="22" t="s">
        <v>61</v>
      </c>
      <c r="F2" s="22" t="s">
        <v>62</v>
      </c>
      <c r="G2" s="22" t="s">
        <v>68</v>
      </c>
      <c r="H2" s="22" t="s">
        <v>80</v>
      </c>
      <c r="I2" s="22" t="s">
        <v>63</v>
      </c>
      <c r="J2" s="22" t="s">
        <v>64</v>
      </c>
      <c r="K2" s="22" t="s">
        <v>65</v>
      </c>
      <c r="L2" s="22" t="s">
        <v>66</v>
      </c>
      <c r="M2" s="44" t="s">
        <v>67</v>
      </c>
      <c r="N2" s="44" t="s">
        <v>72</v>
      </c>
    </row>
    <row r="3" spans="1:14" x14ac:dyDescent="0.35">
      <c r="C3" s="18" t="s">
        <v>53</v>
      </c>
      <c r="D3" s="54">
        <v>1.0200471472305713E-2</v>
      </c>
      <c r="E3" s="54">
        <v>2.7990614224709175E-2</v>
      </c>
      <c r="F3" s="54">
        <v>1.7289457262740528E-2</v>
      </c>
      <c r="G3" s="54">
        <v>0.12665154721181146</v>
      </c>
      <c r="H3" s="54">
        <v>0.15308641975308643</v>
      </c>
      <c r="I3" s="54">
        <v>0.17409822780290035</v>
      </c>
      <c r="J3" s="54">
        <v>1.7021024447755034E-2</v>
      </c>
      <c r="K3" s="54">
        <v>3.9936522500155176E-2</v>
      </c>
      <c r="L3" s="54">
        <v>6.1751470355601683E-2</v>
      </c>
      <c r="M3" s="54">
        <v>2.9431611033188462E-2</v>
      </c>
      <c r="N3" s="54">
        <v>5.8212307451147791E-2</v>
      </c>
    </row>
    <row r="4" spans="1:14" x14ac:dyDescent="0.35">
      <c r="C4" s="18" t="s">
        <v>73</v>
      </c>
      <c r="D4" s="54">
        <v>0.30705344555008313</v>
      </c>
      <c r="E4" s="54">
        <v>0.21242059335885732</v>
      </c>
      <c r="F4" s="54">
        <v>8.2945072344869128E-2</v>
      </c>
      <c r="G4" s="54">
        <v>3.9678707166382735E-2</v>
      </c>
      <c r="H4" s="54">
        <v>0.36438320987654321</v>
      </c>
      <c r="I4" s="54">
        <v>1.7193947699984408E-2</v>
      </c>
      <c r="J4" s="54">
        <v>0.15423091851178106</v>
      </c>
      <c r="K4" s="54">
        <v>8.0629694755136247E-2</v>
      </c>
      <c r="L4" s="54">
        <v>0.15535157548467798</v>
      </c>
      <c r="M4" s="54">
        <v>0.11971908484166338</v>
      </c>
      <c r="N4" s="54">
        <v>0.12521772334138373</v>
      </c>
    </row>
    <row r="5" spans="1:14" x14ac:dyDescent="0.35">
      <c r="C5" s="18" t="s">
        <v>54</v>
      </c>
      <c r="D5" s="54">
        <v>1.4595013844121842E-2</v>
      </c>
      <c r="E5" s="54">
        <v>4.8386584700338686E-2</v>
      </c>
      <c r="F5" s="54">
        <v>4.9824694727782448E-2</v>
      </c>
      <c r="G5" s="54">
        <v>4.6116211402612149E-2</v>
      </c>
      <c r="H5" s="54">
        <v>8.3950617283950618E-2</v>
      </c>
      <c r="I5" s="54">
        <v>3.5006507250896615E-2</v>
      </c>
      <c r="J5" s="54">
        <v>3.3004532179238162E-2</v>
      </c>
      <c r="K5" s="54">
        <v>4.3198212438706474E-2</v>
      </c>
      <c r="L5" s="54">
        <v>5.3814623357185773E-2</v>
      </c>
      <c r="M5" s="54">
        <v>4.8823177064401424E-2</v>
      </c>
      <c r="N5" s="54">
        <v>4.3881833344869663E-2</v>
      </c>
    </row>
    <row r="6" spans="1:14" x14ac:dyDescent="0.35">
      <c r="C6" s="18" t="s">
        <v>55</v>
      </c>
      <c r="D6" s="54">
        <v>1.5904379827865029E-3</v>
      </c>
      <c r="E6" s="54">
        <v>2.0749460388749818E-2</v>
      </c>
      <c r="F6" s="54">
        <v>7.4137121468792009E-3</v>
      </c>
      <c r="G6" s="54">
        <v>2.2944747688813175E-2</v>
      </c>
      <c r="H6" s="54">
        <v>9.876543209876543E-3</v>
      </c>
      <c r="I6" s="54">
        <v>2.4312586246686418E-2</v>
      </c>
      <c r="J6" s="54">
        <v>1.531094525753649E-2</v>
      </c>
      <c r="K6" s="54">
        <v>1.780943738687853E-2</v>
      </c>
      <c r="L6" s="54">
        <v>1.2882903140875075E-2</v>
      </c>
      <c r="M6" s="54">
        <v>1.9579903850355591E-2</v>
      </c>
      <c r="N6" s="54">
        <v>1.7103921794653771E-2</v>
      </c>
    </row>
    <row r="7" spans="1:14" x14ac:dyDescent="0.35">
      <c r="C7" s="18" t="s">
        <v>56</v>
      </c>
      <c r="D7" s="54">
        <v>1.4519010242205673E-2</v>
      </c>
      <c r="E7" s="54">
        <v>8.7802037402444424E-2</v>
      </c>
      <c r="F7" s="54">
        <v>6.9855998038148515E-2</v>
      </c>
      <c r="G7" s="54">
        <v>0.12051659702441794</v>
      </c>
      <c r="H7" s="54">
        <v>2.5679012345679011E-2</v>
      </c>
      <c r="I7" s="54">
        <v>0.15866728679245284</v>
      </c>
      <c r="J7" s="54">
        <v>9.1424148126741378E-2</v>
      </c>
      <c r="K7" s="54">
        <v>0.15079939497237912</v>
      </c>
      <c r="L7" s="54">
        <v>0.14899155470585021</v>
      </c>
      <c r="M7" s="54">
        <v>0.19180536169182141</v>
      </c>
      <c r="N7" s="54">
        <v>0.13177458521161109</v>
      </c>
    </row>
    <row r="8" spans="1:14" x14ac:dyDescent="0.35">
      <c r="C8" s="18" t="s">
        <v>57</v>
      </c>
      <c r="D8" s="54">
        <v>0.53371232053054207</v>
      </c>
      <c r="E8" s="54">
        <v>0.37984334067147701</v>
      </c>
      <c r="F8" s="54">
        <v>0.64068444739490094</v>
      </c>
      <c r="G8" s="54">
        <v>0.3557147411016468</v>
      </c>
      <c r="H8" s="54">
        <v>0</v>
      </c>
      <c r="I8" s="54">
        <v>0.3886197104007485</v>
      </c>
      <c r="J8" s="54">
        <v>0.61089153686944242</v>
      </c>
      <c r="K8" s="54">
        <v>0.56207760785798522</v>
      </c>
      <c r="L8" s="54">
        <v>0.45167067365488611</v>
      </c>
      <c r="M8" s="54">
        <v>0.47178902614579216</v>
      </c>
      <c r="N8" s="54">
        <v>0.47320833362392689</v>
      </c>
    </row>
    <row r="9" spans="1:14" x14ac:dyDescent="0.35">
      <c r="C9" s="18" t="s">
        <v>5</v>
      </c>
      <c r="D9" s="54">
        <v>4.4749145951838154E-2</v>
      </c>
      <c r="E9" s="54">
        <v>0.20591697895744371</v>
      </c>
      <c r="F9" s="54">
        <v>9.7442689073402963E-2</v>
      </c>
      <c r="G9" s="54">
        <v>0.28253253287904601</v>
      </c>
      <c r="H9" s="54">
        <v>0.36302419753086418</v>
      </c>
      <c r="I9" s="54">
        <v>0.19358369664743491</v>
      </c>
      <c r="J9" s="54">
        <v>7.6079929380279174E-2</v>
      </c>
      <c r="K9" s="54">
        <v>9.0825812082428153E-2</v>
      </c>
      <c r="L9" s="54">
        <v>9.8748723614027409E-2</v>
      </c>
      <c r="M9" s="54">
        <v>9.9887616427696557E-2</v>
      </c>
      <c r="N9" s="54">
        <v>0.13213341306548704</v>
      </c>
    </row>
    <row r="10" spans="1:14" x14ac:dyDescent="0.35">
      <c r="C10" s="18" t="s">
        <v>58</v>
      </c>
      <c r="D10" s="54">
        <v>7.3391040993698489E-2</v>
      </c>
      <c r="E10" s="54">
        <v>1.6486829494919749E-2</v>
      </c>
      <c r="F10" s="54">
        <v>3.433681512981631E-2</v>
      </c>
      <c r="G10" s="54">
        <v>5.830939125496877E-3</v>
      </c>
      <c r="H10" s="54">
        <v>0</v>
      </c>
      <c r="I10" s="54">
        <v>5.820484734133791E-3</v>
      </c>
      <c r="J10" s="54">
        <v>1.5069969400140876E-3</v>
      </c>
      <c r="K10" s="54">
        <v>1.4640604332443671E-2</v>
      </c>
      <c r="L10" s="54">
        <v>1.6410095832195336E-2</v>
      </c>
      <c r="M10" s="54">
        <v>1.871947378506519E-2</v>
      </c>
      <c r="N10" s="54">
        <v>1.7924677657521811E-2</v>
      </c>
    </row>
    <row r="11" spans="1:14" x14ac:dyDescent="0.35">
      <c r="C11" s="18" t="s">
        <v>59</v>
      </c>
      <c r="D11" s="54">
        <v>1.8911343241852495E-4</v>
      </c>
      <c r="E11" s="54">
        <v>4.0356080106011447E-4</v>
      </c>
      <c r="F11" s="54">
        <v>2.0711388145993088E-4</v>
      </c>
      <c r="G11" s="54">
        <v>1.3976399772856332E-5</v>
      </c>
      <c r="H11" s="54">
        <v>0</v>
      </c>
      <c r="I11" s="54">
        <v>2.6975524247622017E-3</v>
      </c>
      <c r="J11" s="54">
        <v>5.2996828721219936E-4</v>
      </c>
      <c r="K11" s="54">
        <v>8.2713673887406115E-5</v>
      </c>
      <c r="L11" s="54">
        <v>3.783798547005545E-4</v>
      </c>
      <c r="M11" s="54">
        <v>2.4474516001580404E-4</v>
      </c>
      <c r="N11" s="54">
        <v>5.4320450939827545E-4</v>
      </c>
    </row>
    <row r="12" spans="1:14" x14ac:dyDescent="0.35">
      <c r="C12" s="23"/>
      <c r="D12" s="21">
        <f>SUM(D3:D11)</f>
        <v>1</v>
      </c>
      <c r="E12" s="21">
        <f t="shared" ref="E12:N12" si="0">SUM(E3:E11)</f>
        <v>1</v>
      </c>
      <c r="F12" s="21">
        <f t="shared" si="0"/>
        <v>0.99999999999999989</v>
      </c>
      <c r="G12" s="21">
        <f t="shared" si="0"/>
        <v>1.0000000000000002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</v>
      </c>
      <c r="L12" s="21">
        <f t="shared" si="0"/>
        <v>1.0000000000000002</v>
      </c>
      <c r="M12" s="21">
        <f t="shared" si="0"/>
        <v>1</v>
      </c>
      <c r="N12" s="21">
        <f t="shared" si="0"/>
        <v>1.0000000000000002</v>
      </c>
    </row>
    <row r="13" spans="1:14" x14ac:dyDescent="0.35">
      <c r="D13" s="31"/>
      <c r="E13" s="31"/>
      <c r="F13" s="31"/>
      <c r="G13" s="31"/>
      <c r="H13" s="31"/>
      <c r="I13" s="31"/>
      <c r="J13" s="31"/>
      <c r="K13" s="31"/>
    </row>
    <row r="17" spans="3:11" x14ac:dyDescent="0.35">
      <c r="C17" s="29"/>
      <c r="D17" s="29"/>
      <c r="E17" s="29"/>
      <c r="F17" s="29"/>
      <c r="G17" s="29"/>
      <c r="H17" s="29"/>
      <c r="I17" s="29"/>
      <c r="J17" s="29"/>
      <c r="K17" s="29"/>
    </row>
    <row r="18" spans="3:11" x14ac:dyDescent="0.35">
      <c r="C18" s="29"/>
      <c r="D18" s="29"/>
      <c r="E18" s="29"/>
      <c r="F18" s="29"/>
      <c r="G18" s="29"/>
      <c r="H18" s="29"/>
      <c r="I18" s="29"/>
      <c r="J18" s="29"/>
      <c r="K18" s="29"/>
    </row>
    <row r="19" spans="3:11" x14ac:dyDescent="0.35">
      <c r="C19" s="29"/>
      <c r="D19" s="29"/>
      <c r="E19" s="29"/>
      <c r="F19" s="29"/>
      <c r="G19" s="29"/>
      <c r="H19" s="29"/>
      <c r="I19" s="29"/>
      <c r="J19" s="29"/>
      <c r="K19" s="29"/>
    </row>
    <row r="20" spans="3:11" x14ac:dyDescent="0.35">
      <c r="C20" s="29"/>
      <c r="D20" s="29"/>
      <c r="E20" s="29"/>
      <c r="F20" s="29"/>
      <c r="G20" s="29"/>
      <c r="H20" s="29"/>
      <c r="I20" s="29"/>
      <c r="J20" s="29"/>
      <c r="K20" s="29"/>
    </row>
    <row r="21" spans="3:11" x14ac:dyDescent="0.35">
      <c r="C21" s="29"/>
      <c r="D21" s="29"/>
      <c r="E21" s="29"/>
      <c r="F21" s="29"/>
      <c r="G21" s="29"/>
      <c r="H21" s="29"/>
      <c r="I21" s="29"/>
      <c r="J21" s="29"/>
      <c r="K21" s="29"/>
    </row>
    <row r="22" spans="3:11" x14ac:dyDescent="0.35">
      <c r="C22" s="29"/>
      <c r="D22" s="29"/>
      <c r="E22" s="29"/>
      <c r="F22" s="29"/>
      <c r="G22" s="29"/>
      <c r="H22" s="29"/>
      <c r="I22" s="29"/>
      <c r="J22" s="29"/>
      <c r="K22" s="29"/>
    </row>
    <row r="23" spans="3:11" x14ac:dyDescent="0.35">
      <c r="C23" s="29"/>
      <c r="D23" s="29"/>
      <c r="E23" s="29"/>
      <c r="F23" s="29"/>
      <c r="G23" s="29"/>
      <c r="H23" s="29"/>
      <c r="I23" s="29"/>
      <c r="J23" s="29"/>
      <c r="K23" s="29"/>
    </row>
    <row r="24" spans="3:11" x14ac:dyDescent="0.35">
      <c r="C24" s="29"/>
      <c r="D24" s="29"/>
      <c r="E24" s="29"/>
      <c r="F24" s="29"/>
      <c r="G24" s="29"/>
      <c r="H24" s="29"/>
      <c r="I24" s="29"/>
      <c r="J24" s="29"/>
      <c r="K24" s="29"/>
    </row>
    <row r="25" spans="3:11" x14ac:dyDescent="0.35">
      <c r="C25" s="29"/>
      <c r="D25" s="29"/>
      <c r="E25" s="29"/>
      <c r="F25" s="29"/>
      <c r="G25" s="29"/>
      <c r="H25" s="29"/>
      <c r="I25" s="29"/>
      <c r="J25" s="29"/>
      <c r="K25" s="29"/>
    </row>
    <row r="26" spans="3:11" x14ac:dyDescent="0.35">
      <c r="C26" s="29"/>
      <c r="D26" s="29"/>
      <c r="E26" s="29"/>
      <c r="F26" s="29"/>
      <c r="G26" s="29"/>
      <c r="H26" s="29"/>
      <c r="I26" s="29"/>
      <c r="J26" s="29"/>
      <c r="K26" s="29"/>
    </row>
    <row r="27" spans="3:11" x14ac:dyDescent="0.35">
      <c r="C27" s="29"/>
      <c r="D27" s="29"/>
      <c r="E27" s="29"/>
      <c r="F27" s="29"/>
      <c r="G27" s="29"/>
      <c r="H27" s="29"/>
      <c r="I27" s="29"/>
      <c r="J27" s="29"/>
      <c r="K27" s="29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3" sqref="F13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9" customWidth="1"/>
    <col min="12" max="16384" width="9.1796875" style="29"/>
  </cols>
  <sheetData>
    <row r="1" spans="1:13" x14ac:dyDescent="0.35">
      <c r="A1" s="40" t="str">
        <f>'Fixed rate bond (Values)'!A1</f>
        <v>28 July 2023</v>
      </c>
    </row>
    <row r="2" spans="1:13" x14ac:dyDescent="0.35">
      <c r="A2" s="17"/>
      <c r="B2" s="18" t="s">
        <v>40</v>
      </c>
      <c r="C2" s="18" t="s">
        <v>77</v>
      </c>
      <c r="D2" s="58" t="s">
        <v>81</v>
      </c>
      <c r="E2" s="58" t="s">
        <v>72</v>
      </c>
      <c r="K2" s="15"/>
      <c r="L2" s="15"/>
    </row>
    <row r="3" spans="1:13" x14ac:dyDescent="0.35">
      <c r="B3" s="18" t="s">
        <v>53</v>
      </c>
      <c r="C3" s="52">
        <v>544814011</v>
      </c>
      <c r="D3" s="51">
        <v>0</v>
      </c>
      <c r="E3" s="61">
        <f>SUM(C3:D3)</f>
        <v>544814011</v>
      </c>
      <c r="K3" s="15"/>
      <c r="L3" s="15"/>
      <c r="M3" s="55"/>
    </row>
    <row r="4" spans="1:13" x14ac:dyDescent="0.35">
      <c r="B4" s="18" t="s">
        <v>73</v>
      </c>
      <c r="C4" s="52">
        <v>49294000000</v>
      </c>
      <c r="D4" s="51">
        <v>14075000000</v>
      </c>
      <c r="E4" s="61">
        <f t="shared" ref="E4:E11" si="0">SUM(C4:D4)</f>
        <v>63369000000</v>
      </c>
      <c r="K4" s="15"/>
      <c r="L4" s="15"/>
      <c r="M4" s="55"/>
    </row>
    <row r="5" spans="1:13" x14ac:dyDescent="0.35">
      <c r="B5" s="18" t="s">
        <v>54</v>
      </c>
      <c r="C5" s="52">
        <v>144350000</v>
      </c>
      <c r="D5" s="51">
        <v>172000000</v>
      </c>
      <c r="E5" s="61">
        <f t="shared" si="0"/>
        <v>316350000</v>
      </c>
      <c r="K5" s="15"/>
      <c r="L5" s="15"/>
      <c r="M5" s="55"/>
    </row>
    <row r="6" spans="1:13" x14ac:dyDescent="0.35">
      <c r="B6" s="18" t="s">
        <v>55</v>
      </c>
      <c r="C6" s="52">
        <v>1203500000</v>
      </c>
      <c r="D6" s="51">
        <v>8000000</v>
      </c>
      <c r="E6" s="61">
        <f t="shared" si="0"/>
        <v>1211500000</v>
      </c>
      <c r="K6" s="15"/>
      <c r="L6" s="15"/>
      <c r="M6" s="55"/>
    </row>
    <row r="7" spans="1:13" x14ac:dyDescent="0.35">
      <c r="B7" s="18" t="s">
        <v>56</v>
      </c>
      <c r="C7" s="52">
        <v>47700000</v>
      </c>
      <c r="D7" s="51">
        <v>0</v>
      </c>
      <c r="E7" s="61">
        <f t="shared" si="0"/>
        <v>47700000</v>
      </c>
      <c r="K7" s="15"/>
      <c r="L7" s="15"/>
      <c r="M7" s="55"/>
    </row>
    <row r="8" spans="1:13" x14ac:dyDescent="0.35">
      <c r="B8" s="18" t="s">
        <v>57</v>
      </c>
      <c r="C8" s="52">
        <v>650000</v>
      </c>
      <c r="D8" s="51">
        <v>0</v>
      </c>
      <c r="E8" s="61">
        <f t="shared" si="0"/>
        <v>650000</v>
      </c>
      <c r="K8" s="15"/>
      <c r="L8" s="15"/>
      <c r="M8" s="55"/>
    </row>
    <row r="9" spans="1:13" x14ac:dyDescent="0.35">
      <c r="B9" s="18" t="s">
        <v>5</v>
      </c>
      <c r="C9" s="52">
        <v>7569487386</v>
      </c>
      <c r="D9" s="51">
        <v>3978000000</v>
      </c>
      <c r="E9" s="61">
        <f t="shared" si="0"/>
        <v>11547487386</v>
      </c>
      <c r="K9" s="15"/>
      <c r="L9" s="15"/>
      <c r="M9" s="55"/>
    </row>
    <row r="10" spans="1:13" x14ac:dyDescent="0.35">
      <c r="B10" s="18" t="s">
        <v>58</v>
      </c>
      <c r="C10" s="52">
        <v>165498603</v>
      </c>
      <c r="D10" s="51">
        <v>12000000</v>
      </c>
      <c r="E10" s="61">
        <f t="shared" si="0"/>
        <v>177498603</v>
      </c>
      <c r="K10" s="15"/>
      <c r="L10" s="15"/>
      <c r="M10" s="55"/>
    </row>
    <row r="11" spans="1:13" x14ac:dyDescent="0.35">
      <c r="B11" s="19" t="s">
        <v>59</v>
      </c>
      <c r="C11" s="53">
        <v>0</v>
      </c>
      <c r="D11" s="51">
        <v>0</v>
      </c>
      <c r="E11" s="61">
        <f t="shared" si="0"/>
        <v>0</v>
      </c>
      <c r="K11" s="15"/>
      <c r="L11" s="15"/>
      <c r="M11" s="55"/>
    </row>
    <row r="12" spans="1:13" x14ac:dyDescent="0.35">
      <c r="B12" s="19"/>
      <c r="C12" s="20">
        <f>SUM(C3:C11)</f>
        <v>58970000000</v>
      </c>
      <c r="D12" s="20">
        <f t="shared" ref="D12:E12" si="1">SUM(D3:D11)</f>
        <v>18245000000</v>
      </c>
      <c r="E12" s="20">
        <f t="shared" si="1"/>
        <v>77215000000</v>
      </c>
      <c r="F12" s="26"/>
      <c r="K12" s="15"/>
      <c r="L12" s="15"/>
    </row>
    <row r="13" spans="1:13" x14ac:dyDescent="0.35">
      <c r="C13" s="31"/>
      <c r="D13" s="31"/>
      <c r="K13" s="15"/>
      <c r="L13" s="15"/>
    </row>
    <row r="17" spans="2:10" x14ac:dyDescent="0.35">
      <c r="B17" s="29"/>
      <c r="C17" s="29"/>
      <c r="D17" s="29"/>
      <c r="E17" s="29"/>
      <c r="F17" s="29"/>
      <c r="G17" s="29"/>
      <c r="H17" s="29"/>
      <c r="I17" s="29"/>
      <c r="J17" s="29"/>
    </row>
    <row r="18" spans="2:10" x14ac:dyDescent="0.35">
      <c r="B18" s="29"/>
      <c r="C18" s="29"/>
      <c r="D18" s="29"/>
      <c r="E18" s="29"/>
      <c r="F18" s="29"/>
      <c r="G18" s="29"/>
      <c r="H18" s="29"/>
      <c r="I18" s="29"/>
      <c r="J18" s="29"/>
    </row>
    <row r="19" spans="2:10" x14ac:dyDescent="0.35">
      <c r="B19" s="29"/>
      <c r="C19" s="29"/>
      <c r="D19" s="29"/>
      <c r="E19" s="29"/>
      <c r="F19" s="29"/>
      <c r="G19" s="29"/>
      <c r="H19" s="29"/>
      <c r="I19" s="29"/>
      <c r="J19" s="29"/>
    </row>
    <row r="20" spans="2:10" x14ac:dyDescent="0.35">
      <c r="B20" s="29"/>
      <c r="C20" s="29"/>
      <c r="D20" s="29"/>
      <c r="E20" s="29"/>
      <c r="F20" s="29"/>
      <c r="G20" s="29"/>
      <c r="H20" s="29"/>
      <c r="I20" s="29"/>
      <c r="J20" s="29"/>
    </row>
    <row r="21" spans="2:10" x14ac:dyDescent="0.35">
      <c r="B21" s="29"/>
      <c r="C21" s="29"/>
      <c r="D21" s="29"/>
      <c r="E21" s="29"/>
      <c r="F21" s="29"/>
      <c r="G21" s="29"/>
      <c r="H21" s="29"/>
      <c r="I21" s="29"/>
      <c r="J21" s="29"/>
    </row>
    <row r="22" spans="2:10" x14ac:dyDescent="0.35">
      <c r="B22" s="29"/>
      <c r="C22" s="29"/>
      <c r="D22" s="29"/>
      <c r="E22" s="29"/>
      <c r="F22" s="29"/>
      <c r="G22" s="29"/>
      <c r="H22" s="29"/>
      <c r="I22" s="29"/>
      <c r="J22" s="29"/>
    </row>
    <row r="23" spans="2:10" x14ac:dyDescent="0.35">
      <c r="B23" s="29"/>
      <c r="C23" s="29"/>
      <c r="D23" s="29"/>
      <c r="E23" s="29"/>
      <c r="F23" s="29"/>
      <c r="G23" s="29"/>
      <c r="H23" s="29"/>
      <c r="I23" s="29"/>
      <c r="J23" s="29"/>
    </row>
    <row r="24" spans="2:10" x14ac:dyDescent="0.35">
      <c r="B24" s="29"/>
      <c r="C24" s="29"/>
      <c r="D24" s="29"/>
      <c r="E24" s="29"/>
      <c r="F24" s="29"/>
      <c r="G24" s="29"/>
      <c r="H24" s="29"/>
      <c r="I24" s="29"/>
      <c r="J24" s="29"/>
    </row>
    <row r="25" spans="2:10" x14ac:dyDescent="0.35">
      <c r="B25" s="29"/>
      <c r="C25" s="29"/>
      <c r="D25" s="29"/>
      <c r="E25" s="29"/>
      <c r="F25" s="29"/>
      <c r="G25" s="29"/>
      <c r="H25" s="29"/>
      <c r="I25" s="29"/>
      <c r="J25" s="29"/>
    </row>
    <row r="26" spans="2:10" x14ac:dyDescent="0.35">
      <c r="B26" s="29"/>
      <c r="C26" s="29"/>
      <c r="D26" s="29"/>
      <c r="E26" s="29"/>
      <c r="F26" s="29"/>
      <c r="G26" s="29"/>
      <c r="H26" s="29"/>
      <c r="I26" s="29"/>
      <c r="J26" s="29"/>
    </row>
    <row r="27" spans="2:10" x14ac:dyDescent="0.35">
      <c r="B27" s="29"/>
      <c r="C27" s="29"/>
      <c r="D27" s="29"/>
      <c r="E27" s="29"/>
      <c r="F27" s="29"/>
      <c r="G27" s="29"/>
      <c r="H27" s="29"/>
      <c r="I27" s="29"/>
      <c r="J27" s="2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G13" sqref="G13"/>
    </sheetView>
  </sheetViews>
  <sheetFormatPr defaultRowHeight="12.5" x14ac:dyDescent="0.25"/>
  <cols>
    <col min="1" max="1" width="12.179687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40" t="str">
        <f>'Fixed rate bond (Values)'!A1</f>
        <v>28 July 2023</v>
      </c>
    </row>
    <row r="3" spans="1:5" ht="13" x14ac:dyDescent="0.3">
      <c r="B3" s="18" t="s">
        <v>40</v>
      </c>
      <c r="C3" s="22" t="s">
        <v>77</v>
      </c>
      <c r="D3" s="44" t="s">
        <v>81</v>
      </c>
      <c r="E3" s="44" t="s">
        <v>72</v>
      </c>
    </row>
    <row r="4" spans="1:5" ht="13" x14ac:dyDescent="0.3">
      <c r="B4" s="18" t="s">
        <v>53</v>
      </c>
      <c r="C4" s="54">
        <v>9.2388334916059019E-3</v>
      </c>
      <c r="D4" s="54">
        <v>0</v>
      </c>
      <c r="E4" s="54">
        <v>7.0558053616525283E-3</v>
      </c>
    </row>
    <row r="5" spans="1:5" ht="13" x14ac:dyDescent="0.3">
      <c r="B5" s="18" t="s">
        <v>73</v>
      </c>
      <c r="C5" s="54">
        <v>0.83591656774631173</v>
      </c>
      <c r="D5" s="54">
        <v>0.77144423129624551</v>
      </c>
      <c r="E5" s="54">
        <v>0.82068250987502434</v>
      </c>
    </row>
    <row r="6" spans="1:5" ht="13" x14ac:dyDescent="0.3">
      <c r="B6" s="18" t="s">
        <v>54</v>
      </c>
      <c r="C6" s="54">
        <v>2.4478548414448025E-3</v>
      </c>
      <c r="D6" s="54">
        <v>9.4272403398191294E-3</v>
      </c>
      <c r="E6" s="54">
        <v>4.0970018778734704E-3</v>
      </c>
    </row>
    <row r="7" spans="1:5" ht="13" x14ac:dyDescent="0.3">
      <c r="B7" s="18" t="s">
        <v>55</v>
      </c>
      <c r="C7" s="54">
        <v>2.040868238087163E-2</v>
      </c>
      <c r="D7" s="54">
        <v>4.3847629487530829E-4</v>
      </c>
      <c r="E7" s="54">
        <v>1.5689956614647414E-2</v>
      </c>
    </row>
    <row r="8" spans="1:5" ht="13" x14ac:dyDescent="0.3">
      <c r="B8" s="18" t="s">
        <v>56</v>
      </c>
      <c r="C8" s="54">
        <v>8.0888587417330847E-4</v>
      </c>
      <c r="D8" s="54">
        <v>0</v>
      </c>
      <c r="E8" s="54">
        <v>6.177556174318461E-4</v>
      </c>
    </row>
    <row r="9" spans="1:5" ht="13" x14ac:dyDescent="0.3">
      <c r="B9" s="18" t="s">
        <v>57</v>
      </c>
      <c r="C9" s="54">
        <v>1.1022553840936068E-5</v>
      </c>
      <c r="D9" s="54">
        <v>0</v>
      </c>
      <c r="E9" s="54">
        <v>8.4180534870167715E-6</v>
      </c>
    </row>
    <row r="10" spans="1:5" ht="13" x14ac:dyDescent="0.3">
      <c r="B10" s="18" t="s">
        <v>5</v>
      </c>
      <c r="C10" s="54">
        <v>0.12836166501610988</v>
      </c>
      <c r="D10" s="54">
        <v>0.21803233762674706</v>
      </c>
      <c r="E10" s="54">
        <v>0.14954979454769152</v>
      </c>
    </row>
    <row r="11" spans="1:5" ht="13" x14ac:dyDescent="0.3">
      <c r="B11" s="18" t="s">
        <v>58</v>
      </c>
      <c r="C11" s="54">
        <v>2.8064880956418519E-3</v>
      </c>
      <c r="D11" s="54">
        <v>6.577144423129624E-4</v>
      </c>
      <c r="E11" s="54">
        <v>2.2987580521919315E-3</v>
      </c>
    </row>
    <row r="12" spans="1:5" ht="13" x14ac:dyDescent="0.3">
      <c r="B12" s="18" t="s">
        <v>59</v>
      </c>
      <c r="C12" s="54">
        <v>0</v>
      </c>
      <c r="D12" s="54">
        <v>0</v>
      </c>
      <c r="E12" s="54">
        <v>0</v>
      </c>
    </row>
    <row r="13" spans="1:5" ht="13" x14ac:dyDescent="0.3">
      <c r="B13" s="23"/>
      <c r="C13" s="21">
        <f>SUM(C4:C12)</f>
        <v>1</v>
      </c>
      <c r="D13" s="21">
        <f>SUM(D4:D12)</f>
        <v>1</v>
      </c>
      <c r="E13" s="21">
        <f>SUM(E4:E12)</f>
        <v>1.0000000000000002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2023-08-03T13:34:39Z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