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978\Downloads\"/>
    </mc:Choice>
  </mc:AlternateContent>
  <xr:revisionPtr revIDLastSave="0" documentId="8_{341AC46D-6E72-4B58-A732-27A32DACB5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<sst xmlns="http://schemas.openxmlformats.org/spreadsheetml/2006/main" count="358" uniqueCount="96">
  <si>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</si>
  <si>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</si>
  <si>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</si>
  <si>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</si>
  <si>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</si>
  <si>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</si>
  <si>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</si>
  <si>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</si>
  <si>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</si>
  <si>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</si>
  <si>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</si>
  <si>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</si>
  <si>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</si>
  <si>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</si>
  <si>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</si>
  <si>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</si>
  <si>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</si>
  <si>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</si>
  <si>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</si>
  <si>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</si>
  <si>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</si>
  <si>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</si>
  <si>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</si>
  <si>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</si>
  <si>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</si>
  <si>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</si>
  <si>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</si>
  <si>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</si>
  <si>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</si>
  <si>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</si>
  <si>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</si>
  <si>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</si>
  <si>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</si>
  <si>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</si>
  <si>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</si>
  <si>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</si>
  <si>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</si>
  <si>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</si>
  <si>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</si>
  <si>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</si>
  <si>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</si>
  <si>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</si>
  <si>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</si>
  <si>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</si>
  <si>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</si>
  <si>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</si>
  <si>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</si>
  <si>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</si>
  <si>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</si>
  <si>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</si>
  <si>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</si>
  <si>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</si>
  <si>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</si>
  <si>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</si>
  <si>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</si>
  <si>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</si>
  <si>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</si>
  <si>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</si>
  <si>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</si>
  <si>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</si>
  <si>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</si>
  <si>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</si>
  <si>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</si>
  <si>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</si>
  <si>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</si>
  <si>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</si>
  <si>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</si>
  <si>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</si>
  <si>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</si>
  <si>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</si>
  <si>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</si>
  <si>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</si>
  <si>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</si>
  <si>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</si>
  <si>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</si>
  <si>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</si>
  <si>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</si>
  <si>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</si>
  <si>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</si>
  <si>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</si>
  <si>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</si>
  <si>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</si>
  <si>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</si>
  <si>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</si>
  <si>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</si>
  <si>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</si>
  <si>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</si>
  <si>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</si>
  <si>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R2033 (2033)</t>
  </si>
  <si>
    <t>R2038 (2038)</t>
  </si>
  <si>
    <t>2025</t>
  </si>
  <si>
    <t>RN2032 (2032)</t>
  </si>
  <si>
    <t>RN2035 (2035)</t>
  </si>
  <si>
    <t>31 October 2025</t>
  </si>
  <si>
    <t>R2039 (2039)</t>
  </si>
  <si>
    <t>R2042 (2042)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</si>
</sst>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3" fillId="0" borderId="24" xfId="55" applyFont="1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zoomScale="50" zoomScaleNormal="50" workbookViewId="0">
      <pane ySplit="1" topLeftCell="A164" activePane="bottomLeft" state="frozen"/>
      <selection pane="bottomLeft" activeCell="N188" sqref="N188"/>
    </sheetView>
  </sheetViews>
  <sheetFormatPr defaultRowHeight="14.5" x14ac:dyDescent="0.35"/>
  <cols>
    <col min="1" max="1" width="10.1796875" style="58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6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6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6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6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6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7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7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7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7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59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0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5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5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1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1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1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4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4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4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4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4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1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4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4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4" t="s">
        <v>90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  <row r="176" spans="1:8" x14ac:dyDescent="0.35">
      <c r="B176" s="5" t="s">
        <v>15</v>
      </c>
      <c r="C176" s="6">
        <v>0.24476606255862204</v>
      </c>
      <c r="D176" s="6">
        <v>0.21511751584674363</v>
      </c>
      <c r="E176" s="6">
        <v>7.5198683052154061E-2</v>
      </c>
      <c r="F176" s="6">
        <v>0.22535460579310077</v>
      </c>
      <c r="G176" s="6">
        <v>0.22658465060602445</v>
      </c>
      <c r="H176" s="6">
        <v>1.297848214335507E-2</v>
      </c>
    </row>
    <row r="177" spans="2:8" x14ac:dyDescent="0.35">
      <c r="B177" s="5" t="s">
        <v>34</v>
      </c>
      <c r="C177" s="6">
        <v>0.25074492506486762</v>
      </c>
      <c r="D177" s="6">
        <v>0.2151969663295947</v>
      </c>
      <c r="E177" s="6">
        <v>7.508559814965024E-2</v>
      </c>
      <c r="F177" s="6">
        <v>0.22149054138815949</v>
      </c>
      <c r="G177" s="6">
        <v>0.22453714027405225</v>
      </c>
      <c r="H177" s="6">
        <v>1.2944828793675695E-2</v>
      </c>
    </row>
    <row r="178" spans="2:8" x14ac:dyDescent="0.35">
      <c r="B178" s="5" t="s">
        <v>27</v>
      </c>
      <c r="C178" s="6">
        <v>0.24659002107974323</v>
      </c>
      <c r="D178" s="6">
        <v>0.21572896009578812</v>
      </c>
      <c r="E178" s="6">
        <v>7.6010382002739421E-2</v>
      </c>
      <c r="F178" s="6">
        <v>0.22079269523242323</v>
      </c>
      <c r="G178" s="6">
        <v>0.22782584871456291</v>
      </c>
      <c r="H178" s="6">
        <v>1.3052092874743104E-2</v>
      </c>
    </row>
    <row r="179" spans="2:8" x14ac:dyDescent="0.35">
      <c r="B179" s="5" t="s">
        <v>37</v>
      </c>
      <c r="C179" s="6">
        <v>0.25198227333831774</v>
      </c>
      <c r="D179" s="6">
        <v>0.20665516158520569</v>
      </c>
      <c r="E179" s="6">
        <v>7.5711652117946712E-2</v>
      </c>
      <c r="F179" s="6">
        <v>0.21856492562641905</v>
      </c>
      <c r="G179" s="6">
        <v>0.23398449521921288</v>
      </c>
      <c r="H179" s="6">
        <v>1.3101492112897869E-2</v>
      </c>
    </row>
    <row r="180" spans="2:8" x14ac:dyDescent="0.35">
      <c r="B180" s="5" t="s">
        <v>29</v>
      </c>
      <c r="C180" s="6">
        <v>0.26847198300620184</v>
      </c>
      <c r="D180" s="6">
        <v>0.19612809687277316</v>
      </c>
      <c r="E180" s="6">
        <v>7.5495305128554499E-2</v>
      </c>
      <c r="F180" s="6">
        <v>0.21768370508006904</v>
      </c>
      <c r="G180" s="6">
        <v>0.22946656920908759</v>
      </c>
      <c r="H180" s="6">
        <v>1.2754340703313858E-2</v>
      </c>
    </row>
    <row r="181" spans="2:8" x14ac:dyDescent="0.35">
      <c r="B181" s="5" t="s">
        <v>30</v>
      </c>
      <c r="C181" s="6">
        <v>0.25739560828004443</v>
      </c>
      <c r="D181" s="6">
        <v>0.20228484202169852</v>
      </c>
      <c r="E181" s="6">
        <v>7.5130716871862291E-2</v>
      </c>
      <c r="F181" s="6">
        <v>0.2182139878597236</v>
      </c>
      <c r="G181" s="6">
        <v>0.2342274262944673</v>
      </c>
      <c r="H181" s="6">
        <v>1.2747418672203933E-2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B1" zoomScale="90" zoomScaleNormal="90" workbookViewId="0">
      <selection activeCell="F1" sqref="F1:F1048576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19.453125" customWidth="1"/>
    <col min="19" max="19" width="18.453125" customWidth="1"/>
  </cols>
  <sheetData>
    <row r="1" spans="1:19" x14ac:dyDescent="0.35">
      <c r="A1" s="39" t="s">
        <v>93</v>
      </c>
    </row>
    <row r="2" spans="1:19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88</v>
      </c>
      <c r="H2" s="41" t="s">
        <v>45</v>
      </c>
      <c r="I2" s="41" t="s">
        <v>46</v>
      </c>
      <c r="J2" s="41" t="s">
        <v>47</v>
      </c>
      <c r="K2" s="41" t="s">
        <v>89</v>
      </c>
      <c r="L2" s="41" t="s">
        <v>94</v>
      </c>
      <c r="M2" s="41" t="s">
        <v>48</v>
      </c>
      <c r="N2" s="31" t="s">
        <v>49</v>
      </c>
      <c r="O2" s="31" t="s">
        <v>95</v>
      </c>
      <c r="P2" s="31" t="s">
        <v>50</v>
      </c>
      <c r="Q2" s="52" t="s">
        <v>51</v>
      </c>
      <c r="R2" s="31" t="s">
        <v>77</v>
      </c>
      <c r="S2" s="52" t="s">
        <v>52</v>
      </c>
    </row>
    <row r="3" spans="1:19" x14ac:dyDescent="0.35">
      <c r="B3" s="18" t="s">
        <v>53</v>
      </c>
      <c r="C3" s="63">
        <v>104288929813.95</v>
      </c>
      <c r="D3" s="63">
        <v>92881508946.48999</v>
      </c>
      <c r="E3" s="63">
        <v>80359331978</v>
      </c>
      <c r="F3" s="63">
        <v>70884289459</v>
      </c>
      <c r="G3" s="63">
        <v>6240111129</v>
      </c>
      <c r="H3" s="63">
        <v>165615456032</v>
      </c>
      <c r="I3" s="63">
        <v>34163787929.32</v>
      </c>
      <c r="J3" s="63">
        <v>110981604461</v>
      </c>
      <c r="K3" s="63">
        <v>9826799863</v>
      </c>
      <c r="L3" s="63">
        <v>3147448611</v>
      </c>
      <c r="M3" s="63">
        <v>121063629995</v>
      </c>
      <c r="N3" s="63">
        <v>43048088057</v>
      </c>
      <c r="O3" s="63">
        <v>1531829416</v>
      </c>
      <c r="P3" s="63">
        <v>104183730466</v>
      </c>
      <c r="Q3" s="63">
        <v>115921495318</v>
      </c>
      <c r="R3" s="63">
        <v>14628379311</v>
      </c>
      <c r="S3" s="53">
        <v>1078766420785.76</v>
      </c>
    </row>
    <row r="4" spans="1:19" x14ac:dyDescent="0.35">
      <c r="B4" s="18" t="s">
        <v>71</v>
      </c>
      <c r="C4" s="63">
        <v>104163724058.64999</v>
      </c>
      <c r="D4" s="63">
        <v>92051500209.539993</v>
      </c>
      <c r="E4" s="63">
        <v>51349525065</v>
      </c>
      <c r="F4" s="63">
        <v>88492084932.199997</v>
      </c>
      <c r="G4" s="63">
        <v>20251296897</v>
      </c>
      <c r="H4" s="63">
        <v>40012632156.790001</v>
      </c>
      <c r="I4" s="63">
        <v>16966168541</v>
      </c>
      <c r="J4" s="63">
        <v>50555454362.690002</v>
      </c>
      <c r="K4" s="63">
        <v>8616241821.0100002</v>
      </c>
      <c r="L4" s="63">
        <v>3266682000</v>
      </c>
      <c r="M4" s="63">
        <v>27840037671</v>
      </c>
      <c r="N4" s="63">
        <v>10296909179.99</v>
      </c>
      <c r="O4" s="63">
        <v>1464848000</v>
      </c>
      <c r="P4" s="63">
        <v>32395040106.099998</v>
      </c>
      <c r="Q4" s="63">
        <v>117162519470.56</v>
      </c>
      <c r="R4" s="63">
        <v>9301604646</v>
      </c>
      <c r="S4" s="53">
        <v>674186269117.53003</v>
      </c>
    </row>
    <row r="5" spans="1:19" x14ac:dyDescent="0.35">
      <c r="B5" s="18" t="s">
        <v>54</v>
      </c>
      <c r="C5" s="63">
        <v>12915854095.9</v>
      </c>
      <c r="D5" s="63">
        <v>16593488752.57</v>
      </c>
      <c r="E5" s="63">
        <v>9757574475</v>
      </c>
      <c r="F5" s="63">
        <v>10098416248</v>
      </c>
      <c r="G5" s="63">
        <v>947389393</v>
      </c>
      <c r="H5" s="63">
        <v>12678305800</v>
      </c>
      <c r="I5" s="63">
        <v>7865941393</v>
      </c>
      <c r="J5" s="63">
        <v>22872058082.75</v>
      </c>
      <c r="K5" s="63">
        <v>3308056492</v>
      </c>
      <c r="L5" s="63">
        <v>70933524</v>
      </c>
      <c r="M5" s="63">
        <v>24458530220</v>
      </c>
      <c r="N5" s="63">
        <v>9839702428</v>
      </c>
      <c r="O5" s="63">
        <v>640815469</v>
      </c>
      <c r="P5" s="63">
        <v>34112100227</v>
      </c>
      <c r="Q5" s="63">
        <v>32066996644</v>
      </c>
      <c r="R5" s="63">
        <v>27450403446</v>
      </c>
      <c r="S5" s="53">
        <v>225676566690.22</v>
      </c>
    </row>
    <row r="6" spans="1:19" x14ac:dyDescent="0.35">
      <c r="B6" s="18" t="s">
        <v>55</v>
      </c>
      <c r="C6" s="63">
        <v>2178311067</v>
      </c>
      <c r="D6" s="63">
        <v>3476676699.4299998</v>
      </c>
      <c r="E6" s="63">
        <v>2437819098</v>
      </c>
      <c r="F6" s="63">
        <v>3345924886</v>
      </c>
      <c r="G6" s="63">
        <v>670595499</v>
      </c>
      <c r="H6" s="63">
        <v>3249555764</v>
      </c>
      <c r="I6" s="63">
        <v>364191316</v>
      </c>
      <c r="J6" s="63">
        <v>4235129730</v>
      </c>
      <c r="K6" s="63">
        <v>761866310</v>
      </c>
      <c r="L6" s="63">
        <v>0</v>
      </c>
      <c r="M6" s="63">
        <v>2607805461</v>
      </c>
      <c r="N6" s="63">
        <v>538608264</v>
      </c>
      <c r="O6" s="63">
        <v>19600000</v>
      </c>
      <c r="P6" s="63">
        <v>2175618213</v>
      </c>
      <c r="Q6" s="63">
        <v>4818213042</v>
      </c>
      <c r="R6" s="63">
        <v>338261493</v>
      </c>
      <c r="S6" s="53">
        <v>31218176842.43</v>
      </c>
    </row>
    <row r="7" spans="1:19" x14ac:dyDescent="0.35">
      <c r="B7" s="18" t="s">
        <v>56</v>
      </c>
      <c r="C7" s="63">
        <v>1886205392.73</v>
      </c>
      <c r="D7" s="63">
        <v>5127556983</v>
      </c>
      <c r="E7" s="63">
        <v>4006508660</v>
      </c>
      <c r="F7" s="63">
        <v>11049830025</v>
      </c>
      <c r="G7" s="63">
        <v>419411317</v>
      </c>
      <c r="H7" s="63">
        <v>7854361898</v>
      </c>
      <c r="I7" s="63">
        <v>3755333264</v>
      </c>
      <c r="J7" s="63">
        <v>10856303431</v>
      </c>
      <c r="K7" s="63">
        <v>1961935193</v>
      </c>
      <c r="L7" s="63">
        <v>74421184</v>
      </c>
      <c r="M7" s="63">
        <v>9859651713</v>
      </c>
      <c r="N7" s="63">
        <v>2911249025</v>
      </c>
      <c r="O7" s="63">
        <v>485581878</v>
      </c>
      <c r="P7" s="63">
        <v>7549672149</v>
      </c>
      <c r="Q7" s="63">
        <v>12210272379</v>
      </c>
      <c r="R7" s="63">
        <v>1481629913</v>
      </c>
      <c r="S7" s="53">
        <v>81489924404.729996</v>
      </c>
    </row>
    <row r="8" spans="1:19" x14ac:dyDescent="0.35">
      <c r="B8" s="18" t="s">
        <v>57</v>
      </c>
      <c r="C8" s="63">
        <v>619390551.50999999</v>
      </c>
      <c r="D8" s="63">
        <v>53853438129</v>
      </c>
      <c r="E8" s="63">
        <v>22638173035</v>
      </c>
      <c r="F8" s="63">
        <v>53708804562</v>
      </c>
      <c r="G8" s="63">
        <v>4254817719</v>
      </c>
      <c r="H8" s="63">
        <v>52484119667</v>
      </c>
      <c r="I8" s="63">
        <v>15999033919</v>
      </c>
      <c r="J8" s="63">
        <v>60683945857</v>
      </c>
      <c r="K8" s="63">
        <v>2913461211</v>
      </c>
      <c r="L8" s="63">
        <v>5083062</v>
      </c>
      <c r="M8" s="63">
        <v>48348220342</v>
      </c>
      <c r="N8" s="63">
        <v>9327665250</v>
      </c>
      <c r="O8" s="63">
        <v>26323174</v>
      </c>
      <c r="P8" s="63">
        <v>56028020986</v>
      </c>
      <c r="Q8" s="63">
        <v>73170901315</v>
      </c>
      <c r="R8" s="63">
        <v>7326242373</v>
      </c>
      <c r="S8" s="53">
        <v>461387641152.51001</v>
      </c>
    </row>
    <row r="9" spans="1:19" x14ac:dyDescent="0.35">
      <c r="B9" s="18" t="s">
        <v>5</v>
      </c>
      <c r="C9" s="63">
        <v>61933347413.699997</v>
      </c>
      <c r="D9" s="63">
        <v>73950013219.970001</v>
      </c>
      <c r="E9" s="63">
        <v>45679009401</v>
      </c>
      <c r="F9" s="63">
        <v>105509488460</v>
      </c>
      <c r="G9" s="63">
        <v>15467884941</v>
      </c>
      <c r="H9" s="63">
        <v>80716563054.209991</v>
      </c>
      <c r="I9" s="63">
        <v>22799082228.68</v>
      </c>
      <c r="J9" s="63">
        <v>89521635062.25</v>
      </c>
      <c r="K9" s="63">
        <v>22343299125.989998</v>
      </c>
      <c r="L9" s="63">
        <v>1056405633</v>
      </c>
      <c r="M9" s="63">
        <v>75047896234</v>
      </c>
      <c r="N9" s="63">
        <v>16608984531.01</v>
      </c>
      <c r="O9" s="63">
        <v>2766626318</v>
      </c>
      <c r="P9" s="63">
        <v>66849017293</v>
      </c>
      <c r="Q9" s="63">
        <v>93403356803.440002</v>
      </c>
      <c r="R9" s="63">
        <v>30077906245</v>
      </c>
      <c r="S9" s="53">
        <v>803730515964.25</v>
      </c>
    </row>
    <row r="10" spans="1:19" x14ac:dyDescent="0.35">
      <c r="B10" s="18" t="s">
        <v>58</v>
      </c>
      <c r="C10" s="63">
        <v>1413354480.45</v>
      </c>
      <c r="D10" s="63">
        <v>4471332241</v>
      </c>
      <c r="E10" s="63">
        <v>1948669792</v>
      </c>
      <c r="F10" s="63">
        <v>6434307050.8000002</v>
      </c>
      <c r="G10" s="63">
        <v>81896956</v>
      </c>
      <c r="H10" s="63">
        <v>6609407455</v>
      </c>
      <c r="I10" s="63">
        <v>2345013554</v>
      </c>
      <c r="J10" s="63">
        <v>5383064337.3099995</v>
      </c>
      <c r="K10" s="63">
        <v>647268277</v>
      </c>
      <c r="L10" s="63">
        <v>6025986</v>
      </c>
      <c r="M10" s="63">
        <v>6509217340</v>
      </c>
      <c r="N10" s="63">
        <v>809164738</v>
      </c>
      <c r="O10" s="63">
        <v>93579981</v>
      </c>
      <c r="P10" s="63">
        <v>2837646490.9000001</v>
      </c>
      <c r="Q10" s="63">
        <v>1632774415</v>
      </c>
      <c r="R10" s="63">
        <v>1058432901</v>
      </c>
      <c r="S10" s="53">
        <v>42281155995.459999</v>
      </c>
    </row>
    <row r="11" spans="1:19" x14ac:dyDescent="0.35">
      <c r="A11" s="17"/>
      <c r="B11" s="19" t="s">
        <v>59</v>
      </c>
      <c r="C11" s="64">
        <v>795639365</v>
      </c>
      <c r="D11" s="64">
        <v>148144850.00006104</v>
      </c>
      <c r="E11" s="64">
        <v>549740</v>
      </c>
      <c r="F11" s="64">
        <v>34345328.000061035</v>
      </c>
      <c r="G11" s="64">
        <v>0</v>
      </c>
      <c r="H11" s="64">
        <v>247344062.99993896</v>
      </c>
      <c r="I11" s="64">
        <v>4000000</v>
      </c>
      <c r="J11" s="64">
        <v>2550683</v>
      </c>
      <c r="K11" s="64">
        <v>0</v>
      </c>
      <c r="L11" s="64">
        <v>0</v>
      </c>
      <c r="M11" s="64">
        <v>5821732</v>
      </c>
      <c r="N11" s="64">
        <v>1485023.0000152588</v>
      </c>
      <c r="O11" s="64">
        <v>0</v>
      </c>
      <c r="P11" s="64">
        <v>17030975</v>
      </c>
      <c r="Q11" s="64">
        <v>76000</v>
      </c>
      <c r="R11" s="64">
        <v>0</v>
      </c>
      <c r="S11" s="53">
        <v>1256987759.0000763</v>
      </c>
    </row>
    <row r="12" spans="1:19" x14ac:dyDescent="0.35">
      <c r="B12" s="19"/>
      <c r="C12" s="20">
        <v>290194756238.89001</v>
      </c>
      <c r="D12" s="20">
        <v>342553660031.00006</v>
      </c>
      <c r="E12" s="20">
        <v>218177161244</v>
      </c>
      <c r="F12" s="20">
        <v>349557490951.00006</v>
      </c>
      <c r="G12" s="20">
        <v>48333403851</v>
      </c>
      <c r="H12" s="20">
        <v>369467745889.99994</v>
      </c>
      <c r="I12" s="20">
        <v>104262552145</v>
      </c>
      <c r="J12" s="20">
        <v>355091746007</v>
      </c>
      <c r="K12" s="20">
        <v>50378928293</v>
      </c>
      <c r="L12" s="20">
        <v>7627000000</v>
      </c>
      <c r="M12" s="20">
        <v>315740810708</v>
      </c>
      <c r="N12" s="20">
        <v>93381856496</v>
      </c>
      <c r="O12" s="20">
        <v>7029204236</v>
      </c>
      <c r="P12" s="20">
        <v>306147876906</v>
      </c>
      <c r="Q12" s="20">
        <v>450386605387</v>
      </c>
      <c r="R12" s="20">
        <v>91662860328</v>
      </c>
      <c r="S12" s="20">
        <v>3399993658711.8896</v>
      </c>
    </row>
    <row r="13" spans="1:19" x14ac:dyDescent="0.35">
      <c r="O13"/>
    </row>
    <row r="15" spans="1:19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"/>
  <sheetViews>
    <sheetView zoomScale="74" workbookViewId="0">
      <selection activeCell="R16" sqref="R16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8" width="11.81640625" style="28" customWidth="1"/>
    <col min="19" max="19" width="11.1796875" style="28" customWidth="1"/>
    <col min="20" max="16384" width="9.1796875" style="28"/>
  </cols>
  <sheetData>
    <row r="1" spans="1:19" ht="15" thickBot="1" x14ac:dyDescent="0.4">
      <c r="A1" s="39" t="str">
        <f>'Fixed rate bond (Values)'!A1</f>
        <v>31 October 2025</v>
      </c>
    </row>
    <row r="2" spans="1:19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88</v>
      </c>
      <c r="H2" s="45" t="s">
        <v>45</v>
      </c>
      <c r="I2" s="45" t="s">
        <v>46</v>
      </c>
      <c r="J2" s="45" t="s">
        <v>47</v>
      </c>
      <c r="K2" s="45" t="s">
        <v>89</v>
      </c>
      <c r="L2" s="45" t="s">
        <v>94</v>
      </c>
      <c r="M2" s="45" t="s">
        <v>48</v>
      </c>
      <c r="N2" s="45" t="s">
        <v>49</v>
      </c>
      <c r="O2" s="45" t="s">
        <v>95</v>
      </c>
      <c r="P2" s="45" t="s">
        <v>50</v>
      </c>
      <c r="Q2" s="45" t="s">
        <v>51</v>
      </c>
      <c r="R2" s="45" t="s">
        <v>77</v>
      </c>
      <c r="S2" s="45" t="s">
        <v>70</v>
      </c>
    </row>
    <row r="3" spans="1:19" x14ac:dyDescent="0.35">
      <c r="B3" s="46" t="s">
        <v>53</v>
      </c>
      <c r="C3" s="66">
        <v>0.35937565228814383</v>
      </c>
      <c r="D3" s="66">
        <v>0.2711444068006294</v>
      </c>
      <c r="E3" s="66">
        <v>0.36832146646242941</v>
      </c>
      <c r="F3" s="66">
        <v>0.20278292210575558</v>
      </c>
      <c r="G3" s="66">
        <v>0.12910555913332172</v>
      </c>
      <c r="H3" s="66">
        <v>0.44825416528052758</v>
      </c>
      <c r="I3" s="66">
        <v>0.32767074300855153</v>
      </c>
      <c r="J3" s="66">
        <v>0.31254346435529989</v>
      </c>
      <c r="K3" s="66">
        <v>0.19505773933593987</v>
      </c>
      <c r="L3" s="66">
        <v>0.41267190389406055</v>
      </c>
      <c r="M3" s="66">
        <v>0.38342724756908525</v>
      </c>
      <c r="N3" s="66">
        <v>0.46098985040893847</v>
      </c>
      <c r="O3" s="66">
        <v>0.21792358915320043</v>
      </c>
      <c r="P3" s="66">
        <v>0.34030525221636176</v>
      </c>
      <c r="Q3" s="66">
        <v>0.2573821999399673</v>
      </c>
      <c r="R3" s="66">
        <v>0.15958894647903007</v>
      </c>
      <c r="S3" s="66">
        <v>0.31728483317067652</v>
      </c>
    </row>
    <row r="4" spans="1:19" x14ac:dyDescent="0.35">
      <c r="B4" s="47" t="s">
        <v>71</v>
      </c>
      <c r="C4" s="66">
        <v>0.35894419805746525</v>
      </c>
      <c r="D4" s="66">
        <v>0.26872140324295357</v>
      </c>
      <c r="E4" s="66">
        <v>0.2353570134115591</v>
      </c>
      <c r="F4" s="66">
        <v>0.25315459466038037</v>
      </c>
      <c r="G4" s="66">
        <v>0.41899173828993647</v>
      </c>
      <c r="H4" s="66">
        <v>0.10829803846721384</v>
      </c>
      <c r="I4" s="66">
        <v>0.16272542913974342</v>
      </c>
      <c r="J4" s="66">
        <v>0.14237293581499749</v>
      </c>
      <c r="K4" s="66">
        <v>0.17102868427249179</v>
      </c>
      <c r="L4" s="66">
        <v>0.4283049691884096</v>
      </c>
      <c r="M4" s="66">
        <v>8.8173706808989991E-2</v>
      </c>
      <c r="N4" s="66">
        <v>0.1102667002602488</v>
      </c>
      <c r="O4" s="66">
        <v>0.20839457082464546</v>
      </c>
      <c r="P4" s="66">
        <v>0.10581500820287122</v>
      </c>
      <c r="Q4" s="65">
        <v>0.26013766410723232</v>
      </c>
      <c r="R4" s="66">
        <v>0.10147626435304097</v>
      </c>
      <c r="S4" s="65">
        <v>0.20413961563726857</v>
      </c>
    </row>
    <row r="5" spans="1:19" x14ac:dyDescent="0.35">
      <c r="B5" s="47" t="s">
        <v>54</v>
      </c>
      <c r="C5" s="66">
        <v>4.4507537845610116E-2</v>
      </c>
      <c r="D5" s="66">
        <v>4.8440553083182181E-2</v>
      </c>
      <c r="E5" s="66">
        <v>4.472317092845271E-2</v>
      </c>
      <c r="F5" s="66">
        <v>2.8889142728786683E-2</v>
      </c>
      <c r="G5" s="66">
        <v>1.9601131257392268E-2</v>
      </c>
      <c r="H5" s="66">
        <v>3.4315054402000923E-2</v>
      </c>
      <c r="I5" s="66">
        <v>7.5443591502159651E-2</v>
      </c>
      <c r="J5" s="66">
        <v>6.4411686106325652E-2</v>
      </c>
      <c r="K5" s="66">
        <v>6.56634947206617E-2</v>
      </c>
      <c r="L5" s="66">
        <v>9.3003178182771724E-3</v>
      </c>
      <c r="M5" s="66">
        <v>7.7463949513385755E-2</v>
      </c>
      <c r="N5" s="66">
        <v>0.10537060192652609</v>
      </c>
      <c r="O5" s="66">
        <v>9.1164724695018809E-2</v>
      </c>
      <c r="P5" s="66">
        <v>0.11142360538882266</v>
      </c>
      <c r="Q5" s="65">
        <v>7.1198823989106097E-2</v>
      </c>
      <c r="R5" s="66">
        <v>0.29947138184182109</v>
      </c>
      <c r="S5" s="65">
        <v>6.7218271418500272E-2</v>
      </c>
    </row>
    <row r="6" spans="1:19" x14ac:dyDescent="0.35">
      <c r="B6" s="47" t="s">
        <v>55</v>
      </c>
      <c r="C6" s="66">
        <v>7.5063763909186615E-3</v>
      </c>
      <c r="D6" s="66">
        <v>1.014929076838756E-2</v>
      </c>
      <c r="E6" s="66">
        <v>1.1173576024640121E-2</v>
      </c>
      <c r="F6" s="66">
        <v>9.57188723633739E-3</v>
      </c>
      <c r="G6" s="66">
        <v>1.3874369391969186E-2</v>
      </c>
      <c r="H6" s="66">
        <v>8.7952353084901659E-3</v>
      </c>
      <c r="I6" s="66">
        <v>3.4930213054204916E-3</v>
      </c>
      <c r="J6" s="66">
        <v>1.1926860530057244E-2</v>
      </c>
      <c r="K6" s="66">
        <v>1.512271768801916E-2</v>
      </c>
      <c r="L6" s="66">
        <v>0</v>
      </c>
      <c r="M6" s="66">
        <v>8.2593233834815302E-3</v>
      </c>
      <c r="N6" s="66">
        <v>5.7678041989138564E-3</v>
      </c>
      <c r="O6" s="66">
        <v>2.7883668395376525E-3</v>
      </c>
      <c r="P6" s="66">
        <v>7.1064292033878916E-3</v>
      </c>
      <c r="Q6" s="65">
        <v>1.0697949238210346E-2</v>
      </c>
      <c r="R6" s="66">
        <v>3.6902786121836982E-3</v>
      </c>
      <c r="S6" s="65">
        <v>9.3615198025416065E-3</v>
      </c>
    </row>
    <row r="7" spans="1:19" x14ac:dyDescent="0.35">
      <c r="B7" s="47" t="s">
        <v>56</v>
      </c>
      <c r="C7" s="66">
        <v>6.4997914406739474E-3</v>
      </c>
      <c r="D7" s="66">
        <v>1.4968624134788026E-2</v>
      </c>
      <c r="E7" s="66">
        <v>1.836355664889824E-2</v>
      </c>
      <c r="F7" s="66">
        <v>3.1610908966470792E-2</v>
      </c>
      <c r="G7" s="66">
        <v>8.6774628638393025E-3</v>
      </c>
      <c r="H7" s="66">
        <v>2.1258586129297593E-2</v>
      </c>
      <c r="I7" s="66">
        <v>3.601804470292827E-2</v>
      </c>
      <c r="J7" s="66">
        <v>3.057323509509564E-2</v>
      </c>
      <c r="K7" s="66">
        <v>3.8943567469111984E-2</v>
      </c>
      <c r="L7" s="66">
        <v>9.7575959092697003E-3</v>
      </c>
      <c r="M7" s="66">
        <v>3.1227042493782334E-2</v>
      </c>
      <c r="N7" s="66">
        <v>3.1175745848709947E-2</v>
      </c>
      <c r="O7" s="66">
        <v>6.90806329844703E-2</v>
      </c>
      <c r="P7" s="66">
        <v>2.4660213963587474E-2</v>
      </c>
      <c r="Q7" s="65">
        <v>2.7110647237184551E-2</v>
      </c>
      <c r="R7" s="66">
        <v>1.616390659966576E-2</v>
      </c>
      <c r="S7" s="65">
        <v>2.453949994057688E-2</v>
      </c>
    </row>
    <row r="8" spans="1:19" x14ac:dyDescent="0.35">
      <c r="B8" s="47" t="s">
        <v>57</v>
      </c>
      <c r="C8" s="66">
        <v>2.1343960846767129E-3</v>
      </c>
      <c r="D8" s="66">
        <v>0.15721168509519481</v>
      </c>
      <c r="E8" s="66">
        <v>0.10376050777231645</v>
      </c>
      <c r="F8" s="66">
        <v>0.15364798624649911</v>
      </c>
      <c r="G8" s="66">
        <v>8.8030582992179834E-2</v>
      </c>
      <c r="H8" s="66">
        <v>0.14205331927032644</v>
      </c>
      <c r="I8" s="66">
        <v>0.15344947528955388</v>
      </c>
      <c r="J8" s="66">
        <v>0.17089652614962142</v>
      </c>
      <c r="K8" s="66">
        <v>5.7830948567534665E-2</v>
      </c>
      <c r="L8" s="66">
        <v>6.6645627376425861E-4</v>
      </c>
      <c r="M8" s="66">
        <v>0.15312629442353867</v>
      </c>
      <c r="N8" s="66">
        <v>9.9887340003778455E-2</v>
      </c>
      <c r="O8" s="66">
        <v>3.7448298720908013E-3</v>
      </c>
      <c r="P8" s="66">
        <v>0.18300966693688001</v>
      </c>
      <c r="Q8" s="65">
        <v>0.16246242770059077</v>
      </c>
      <c r="R8" s="66">
        <v>7.9925962890360219E-2</v>
      </c>
      <c r="S8" s="65">
        <v>0.14006002305373402</v>
      </c>
    </row>
    <row r="9" spans="1:19" x14ac:dyDescent="0.35">
      <c r="B9" s="47" t="s">
        <v>5</v>
      </c>
      <c r="C9" s="66">
        <v>0.21341993982384749</v>
      </c>
      <c r="D9" s="66">
        <v>0.21587862530290219</v>
      </c>
      <c r="E9" s="66">
        <v>0.20936659520431908</v>
      </c>
      <c r="F9" s="66">
        <v>0.30183729770159612</v>
      </c>
      <c r="G9" s="66">
        <v>0.32002473876418236</v>
      </c>
      <c r="H9" s="66">
        <v>0.21846714348440416</v>
      </c>
      <c r="I9" s="66">
        <v>0.2186699036195936</v>
      </c>
      <c r="J9" s="66">
        <v>0.25210846511899843</v>
      </c>
      <c r="K9" s="66">
        <v>0.44350485179127025</v>
      </c>
      <c r="L9" s="66">
        <v>0.13850867090599187</v>
      </c>
      <c r="M9" s="66">
        <v>0.2376882990377984</v>
      </c>
      <c r="N9" s="66">
        <v>0.17786093738371375</v>
      </c>
      <c r="O9" s="66">
        <v>0.39359025931139552</v>
      </c>
      <c r="P9" s="66">
        <v>0.21835531890206575</v>
      </c>
      <c r="Q9" s="65">
        <v>0.20738484601064472</v>
      </c>
      <c r="R9" s="66">
        <v>0.32813623901077615</v>
      </c>
      <c r="S9" s="65">
        <v>0.24287543269786241</v>
      </c>
    </row>
    <row r="10" spans="1:19" x14ac:dyDescent="0.35">
      <c r="B10" s="47" t="s">
        <v>58</v>
      </c>
      <c r="C10" s="66">
        <v>4.8703653324683729E-3</v>
      </c>
      <c r="D10" s="66">
        <v>1.3052939620015615E-2</v>
      </c>
      <c r="E10" s="66">
        <v>8.9315938519371006E-3</v>
      </c>
      <c r="F10" s="66">
        <v>1.8407006622272449E-2</v>
      </c>
      <c r="G10" s="66">
        <v>1.694417307178865E-3</v>
      </c>
      <c r="H10" s="66">
        <v>1.7888997154755129E-2</v>
      </c>
      <c r="I10" s="66">
        <v>2.249142674676468E-2</v>
      </c>
      <c r="J10" s="66">
        <v>1.5159643663482625E-2</v>
      </c>
      <c r="K10" s="66">
        <v>1.284799615497053E-2</v>
      </c>
      <c r="L10" s="66">
        <v>7.9008601022682574E-4</v>
      </c>
      <c r="M10" s="66">
        <v>2.061569844393598E-2</v>
      </c>
      <c r="N10" s="66">
        <v>8.6651172761237662E-3</v>
      </c>
      <c r="O10" s="66">
        <v>1.3313026319641E-2</v>
      </c>
      <c r="P10" s="66">
        <v>9.2688752885628344E-3</v>
      </c>
      <c r="Q10" s="65">
        <v>3.6252730331467549E-3</v>
      </c>
      <c r="R10" s="66">
        <v>1.1547020213122058E-2</v>
      </c>
      <c r="S10" s="65">
        <v>1.1963268683713991E-2</v>
      </c>
    </row>
    <row r="11" spans="1:19" x14ac:dyDescent="0.35">
      <c r="B11" s="47" t="s">
        <v>59</v>
      </c>
      <c r="C11" s="66">
        <v>2.7417427361954984E-3</v>
      </c>
      <c r="D11" s="66">
        <v>4.3247195194660707E-4</v>
      </c>
      <c r="E11" s="66">
        <v>2.5196954477980138E-6</v>
      </c>
      <c r="F11" s="66">
        <v>9.8253731901501329E-5</v>
      </c>
      <c r="G11" s="66">
        <v>0</v>
      </c>
      <c r="H11" s="66">
        <v>6.6946050298414856E-4</v>
      </c>
      <c r="I11" s="66">
        <v>3.8364685284483741E-5</v>
      </c>
      <c r="J11" s="66">
        <v>7.1831661216639988E-6</v>
      </c>
      <c r="K11" s="66">
        <v>0</v>
      </c>
      <c r="L11" s="66">
        <v>0</v>
      </c>
      <c r="M11" s="66">
        <v>1.8438326002095407E-5</v>
      </c>
      <c r="N11" s="66">
        <v>1.5902693047003939E-5</v>
      </c>
      <c r="O11" s="66">
        <v>0</v>
      </c>
      <c r="P11" s="66">
        <v>5.5629897460400191E-5</v>
      </c>
      <c r="Q11" s="65">
        <v>1.687439170947282E-7</v>
      </c>
      <c r="R11" s="66">
        <v>0</v>
      </c>
      <c r="S11" s="65">
        <v>5.2413722571827408E-4</v>
      </c>
    </row>
    <row r="12" spans="1:19" ht="15" thickBot="1" x14ac:dyDescent="0.4">
      <c r="A12" s="17"/>
      <c r="B12" s="48"/>
      <c r="C12" s="49">
        <v>0.99999999999999989</v>
      </c>
      <c r="D12" s="49">
        <v>1</v>
      </c>
      <c r="E12" s="49">
        <v>1</v>
      </c>
      <c r="F12" s="49">
        <v>1</v>
      </c>
      <c r="G12" s="49">
        <v>1</v>
      </c>
      <c r="H12" s="49">
        <v>0.99999999999999967</v>
      </c>
      <c r="I12" s="49">
        <v>1</v>
      </c>
      <c r="J12" s="49">
        <v>1.0000000000000002</v>
      </c>
      <c r="K12" s="49">
        <v>1</v>
      </c>
      <c r="L12" s="49">
        <v>1</v>
      </c>
      <c r="M12" s="49">
        <v>1</v>
      </c>
      <c r="N12" s="49">
        <v>1</v>
      </c>
      <c r="O12" s="49">
        <v>1</v>
      </c>
      <c r="P12" s="49">
        <v>1</v>
      </c>
      <c r="Q12" s="49">
        <v>1</v>
      </c>
      <c r="R12" s="49">
        <v>1</v>
      </c>
      <c r="S12" s="49">
        <v>1.0179666016305926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G1" zoomScale="59" workbookViewId="0">
      <selection activeCell="C23" sqref="C23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31 October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3">
        <v>154769432</v>
      </c>
      <c r="D3" s="63">
        <v>1887532808</v>
      </c>
      <c r="E3" s="63">
        <v>177040000</v>
      </c>
      <c r="F3" s="63">
        <v>7499005658</v>
      </c>
      <c r="G3" s="63">
        <v>292891777</v>
      </c>
      <c r="H3" s="63">
        <v>4200157180</v>
      </c>
      <c r="I3" s="63">
        <v>72780000</v>
      </c>
      <c r="J3" s="63">
        <v>7462580709</v>
      </c>
      <c r="K3" s="63">
        <v>3452388027</v>
      </c>
      <c r="L3" s="63">
        <v>94300000</v>
      </c>
      <c r="M3" s="20">
        <v>25293445591</v>
      </c>
    </row>
    <row r="4" spans="1:13" x14ac:dyDescent="0.35">
      <c r="B4" s="18" t="s">
        <v>71</v>
      </c>
      <c r="C4" s="63">
        <v>2553681500</v>
      </c>
      <c r="D4" s="63">
        <v>4862156818</v>
      </c>
      <c r="E4" s="63">
        <v>830286446</v>
      </c>
      <c r="F4" s="63">
        <v>4120901052</v>
      </c>
      <c r="G4" s="63">
        <v>4243626143.9699998</v>
      </c>
      <c r="H4" s="63">
        <v>7214103661.8900003</v>
      </c>
      <c r="I4" s="63">
        <v>149734746</v>
      </c>
      <c r="J4" s="63">
        <v>11907530087.99</v>
      </c>
      <c r="K4" s="63">
        <v>13394438576.970001</v>
      </c>
      <c r="L4" s="63">
        <v>323654406</v>
      </c>
      <c r="M4" s="20">
        <v>49600113438.82</v>
      </c>
    </row>
    <row r="5" spans="1:13" x14ac:dyDescent="0.35">
      <c r="B5" s="18" t="s">
        <v>54</v>
      </c>
      <c r="C5" s="63">
        <v>1636275355</v>
      </c>
      <c r="D5" s="63">
        <v>6662924753</v>
      </c>
      <c r="E5" s="63">
        <v>1358541278</v>
      </c>
      <c r="F5" s="63">
        <v>3728776220</v>
      </c>
      <c r="G5" s="63">
        <v>1409287643.8499999</v>
      </c>
      <c r="H5" s="63">
        <v>5514064791</v>
      </c>
      <c r="I5" s="63">
        <v>1134903501</v>
      </c>
      <c r="J5" s="63">
        <v>6412131506</v>
      </c>
      <c r="K5" s="63">
        <v>6248688281</v>
      </c>
      <c r="L5" s="63">
        <v>432157581</v>
      </c>
      <c r="M5" s="20">
        <v>34537750909.849998</v>
      </c>
    </row>
    <row r="6" spans="1:13" x14ac:dyDescent="0.35">
      <c r="B6" s="18" t="s">
        <v>55</v>
      </c>
      <c r="C6" s="63">
        <v>165408274</v>
      </c>
      <c r="D6" s="63">
        <v>2398413212</v>
      </c>
      <c r="E6" s="63">
        <v>427671691</v>
      </c>
      <c r="F6" s="63">
        <v>1953164690</v>
      </c>
      <c r="G6" s="63">
        <v>437867565</v>
      </c>
      <c r="H6" s="63">
        <v>1381830884.3899999</v>
      </c>
      <c r="I6" s="63">
        <v>500052399</v>
      </c>
      <c r="J6" s="63">
        <v>1491242274</v>
      </c>
      <c r="K6" s="63">
        <v>2844664593.8099999</v>
      </c>
      <c r="L6" s="63">
        <v>986228312</v>
      </c>
      <c r="M6" s="20">
        <v>12586543895.199999</v>
      </c>
    </row>
    <row r="7" spans="1:13" x14ac:dyDescent="0.35">
      <c r="B7" s="18" t="s">
        <v>56</v>
      </c>
      <c r="C7" s="63">
        <v>2637661777.75</v>
      </c>
      <c r="D7" s="63">
        <v>6282327142</v>
      </c>
      <c r="E7" s="63">
        <v>837350900</v>
      </c>
      <c r="F7" s="63">
        <v>8873294181</v>
      </c>
      <c r="G7" s="63">
        <v>3136926853.9300003</v>
      </c>
      <c r="H7" s="63">
        <v>11972445081</v>
      </c>
      <c r="I7" s="63">
        <v>1811085740</v>
      </c>
      <c r="J7" s="63">
        <v>16353680293</v>
      </c>
      <c r="K7" s="63">
        <v>18573236338.529999</v>
      </c>
      <c r="L7" s="63">
        <v>2297753027</v>
      </c>
      <c r="M7" s="20">
        <v>72775761334.209991</v>
      </c>
    </row>
    <row r="8" spans="1:13" x14ac:dyDescent="0.35">
      <c r="B8" s="18" t="s">
        <v>57</v>
      </c>
      <c r="C8" s="63">
        <v>19389863590</v>
      </c>
      <c r="D8" s="63">
        <v>34354480198</v>
      </c>
      <c r="E8" s="63">
        <v>1570281967</v>
      </c>
      <c r="F8" s="63">
        <v>45682892243</v>
      </c>
      <c r="G8" s="63">
        <v>23742660415</v>
      </c>
      <c r="H8" s="63">
        <v>61091973619</v>
      </c>
      <c r="I8" s="63">
        <v>7856341543</v>
      </c>
      <c r="J8" s="63">
        <v>56945128398</v>
      </c>
      <c r="K8" s="63">
        <v>63561812649</v>
      </c>
      <c r="L8" s="63">
        <v>5049465058</v>
      </c>
      <c r="M8" s="20">
        <v>319244899680</v>
      </c>
    </row>
    <row r="9" spans="1:13" x14ac:dyDescent="0.35">
      <c r="B9" s="18" t="s">
        <v>5</v>
      </c>
      <c r="C9" s="63">
        <v>4850490796.0200005</v>
      </c>
      <c r="D9" s="63">
        <v>23332644597</v>
      </c>
      <c r="E9" s="63">
        <v>6624102210</v>
      </c>
      <c r="F9" s="63">
        <v>24213350689</v>
      </c>
      <c r="G9" s="63">
        <v>4048831354.25</v>
      </c>
      <c r="H9" s="63">
        <v>7786428411.7200003</v>
      </c>
      <c r="I9" s="63">
        <v>1899978181</v>
      </c>
      <c r="J9" s="63">
        <v>10347695909.01</v>
      </c>
      <c r="K9" s="63">
        <v>11939530617.689999</v>
      </c>
      <c r="L9" s="63">
        <v>1126084147</v>
      </c>
      <c r="M9" s="20">
        <v>96169136912.690002</v>
      </c>
    </row>
    <row r="10" spans="1:13" x14ac:dyDescent="0.35">
      <c r="B10" s="18" t="s">
        <v>58</v>
      </c>
      <c r="C10" s="63">
        <v>519366837.23000002</v>
      </c>
      <c r="D10" s="63">
        <v>1065794003</v>
      </c>
      <c r="E10" s="63">
        <v>319725508</v>
      </c>
      <c r="F10" s="63">
        <v>729958339</v>
      </c>
      <c r="G10" s="63">
        <v>629093246</v>
      </c>
      <c r="H10" s="63">
        <v>745750208</v>
      </c>
      <c r="I10" s="63">
        <v>63071306</v>
      </c>
      <c r="J10" s="63">
        <v>2460724037</v>
      </c>
      <c r="K10" s="63">
        <v>2919566819</v>
      </c>
      <c r="L10" s="63">
        <v>162284300</v>
      </c>
      <c r="M10" s="20">
        <v>9615334603.2299995</v>
      </c>
    </row>
    <row r="11" spans="1:13" x14ac:dyDescent="0.35">
      <c r="B11" s="18" t="s">
        <v>59</v>
      </c>
      <c r="C11" s="64">
        <v>300000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20">
        <v>300000</v>
      </c>
    </row>
    <row r="12" spans="1:13" x14ac:dyDescent="0.35">
      <c r="A12" s="17"/>
      <c r="B12" s="18"/>
      <c r="C12" s="33">
        <v>31907817562</v>
      </c>
      <c r="D12" s="33">
        <v>80846273531</v>
      </c>
      <c r="E12" s="33">
        <v>12145000000</v>
      </c>
      <c r="F12" s="33">
        <v>96801343072</v>
      </c>
      <c r="G12" s="33">
        <v>37941184999</v>
      </c>
      <c r="H12" s="33">
        <v>99906753837</v>
      </c>
      <c r="I12" s="33">
        <v>13487947416</v>
      </c>
      <c r="J12" s="33">
        <v>113380713213.99998</v>
      </c>
      <c r="K12" s="33">
        <v>122934325903</v>
      </c>
      <c r="L12" s="33">
        <v>10471926831</v>
      </c>
      <c r="M12" s="33">
        <v>619823286365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E1" zoomScale="85" zoomScaleNormal="73" workbookViewId="0">
      <selection activeCell="D22" sqref="D2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31 October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7">
        <v>4.8505176419311007E-3</v>
      </c>
      <c r="D3" s="67">
        <v>2.3347183804040605E-2</v>
      </c>
      <c r="E3" s="67">
        <v>1.4577192260189378E-2</v>
      </c>
      <c r="F3" s="67">
        <v>7.7467991868896954E-2</v>
      </c>
      <c r="G3" s="67">
        <v>7.719626495791305E-3</v>
      </c>
      <c r="H3" s="67">
        <v>4.2040773207911906E-2</v>
      </c>
      <c r="I3" s="67">
        <v>5.3959285097497593E-3</v>
      </c>
      <c r="J3" s="67">
        <v>6.5818784319294069E-2</v>
      </c>
      <c r="K3" s="67">
        <v>2.8083189960500288E-2</v>
      </c>
      <c r="L3" s="67">
        <v>9.005028541723966E-3</v>
      </c>
      <c r="M3" s="67">
        <v>4.0807511023561734E-2</v>
      </c>
    </row>
    <row r="4" spans="1:13" x14ac:dyDescent="0.35">
      <c r="B4" s="18" t="s">
        <v>71</v>
      </c>
      <c r="C4" s="67">
        <v>8.0033098316359241E-2</v>
      </c>
      <c r="D4" s="67">
        <v>6.014076599505401E-2</v>
      </c>
      <c r="E4" s="67">
        <v>6.836446652943598E-2</v>
      </c>
      <c r="F4" s="67">
        <v>4.2570701203338772E-2</v>
      </c>
      <c r="G4" s="67">
        <v>0.11184748563024184</v>
      </c>
      <c r="H4" s="67">
        <v>7.2208368151566255E-2</v>
      </c>
      <c r="I4" s="67">
        <v>1.110137379556937E-2</v>
      </c>
      <c r="J4" s="67">
        <v>0.10502253646539671</v>
      </c>
      <c r="K4" s="67">
        <v>0.10895605013963909</v>
      </c>
      <c r="L4" s="67">
        <v>3.090686281744132E-2</v>
      </c>
      <c r="M4" s="67">
        <v>8.0022991278213468E-2</v>
      </c>
    </row>
    <row r="5" spans="1:13" x14ac:dyDescent="0.35">
      <c r="B5" s="18" t="s">
        <v>54</v>
      </c>
      <c r="C5" s="67">
        <v>5.1281331034958987E-2</v>
      </c>
      <c r="D5" s="67">
        <v>8.2414741731356891E-2</v>
      </c>
      <c r="E5" s="67">
        <v>0.11186012993001235</v>
      </c>
      <c r="F5" s="67">
        <v>3.8519881043660401E-2</v>
      </c>
      <c r="G5" s="67">
        <v>3.7144007070078172E-2</v>
      </c>
      <c r="H5" s="67">
        <v>5.5192112437126267E-2</v>
      </c>
      <c r="I5" s="67">
        <v>8.4142046672996906E-2</v>
      </c>
      <c r="J5" s="67">
        <v>5.6553988101110703E-2</v>
      </c>
      <c r="K5" s="67">
        <v>5.0829483426219457E-2</v>
      </c>
      <c r="L5" s="67">
        <v>4.1268200969537504E-2</v>
      </c>
      <c r="M5" s="67">
        <v>5.5721931830601625E-2</v>
      </c>
    </row>
    <row r="6" spans="1:13" x14ac:dyDescent="0.35">
      <c r="B6" s="18" t="s">
        <v>55</v>
      </c>
      <c r="C6" s="67">
        <v>5.1839419502319644E-3</v>
      </c>
      <c r="D6" s="67">
        <v>2.966634214847693E-2</v>
      </c>
      <c r="E6" s="67">
        <v>3.5213807410456981E-2</v>
      </c>
      <c r="F6" s="67">
        <v>2.0177041227075258E-2</v>
      </c>
      <c r="G6" s="67">
        <v>1.1540692917512743E-2</v>
      </c>
      <c r="H6" s="67">
        <v>1.383120591271023E-2</v>
      </c>
      <c r="I6" s="67">
        <v>3.7074017534114621E-2</v>
      </c>
      <c r="J6" s="67">
        <v>1.3152521550868714E-2</v>
      </c>
      <c r="K6" s="67">
        <v>2.313970953934015E-2</v>
      </c>
      <c r="L6" s="67">
        <v>9.4178304328910376E-2</v>
      </c>
      <c r="M6" s="67">
        <v>2.0306665096457937E-2</v>
      </c>
    </row>
    <row r="7" spans="1:13" x14ac:dyDescent="0.35">
      <c r="B7" s="18" t="s">
        <v>56</v>
      </c>
      <c r="C7" s="67">
        <v>8.2665063902436012E-2</v>
      </c>
      <c r="D7" s="67">
        <v>7.7707071304790334E-2</v>
      </c>
      <c r="E7" s="67">
        <v>6.8946142445450803E-2</v>
      </c>
      <c r="F7" s="67">
        <v>9.1664990375186439E-2</v>
      </c>
      <c r="G7" s="67">
        <v>8.2678673689624588E-2</v>
      </c>
      <c r="H7" s="67">
        <v>0.11983619346228884</v>
      </c>
      <c r="I7" s="67">
        <v>0.13427437727490024</v>
      </c>
      <c r="J7" s="67">
        <v>0.14423687970751525</v>
      </c>
      <c r="K7" s="67">
        <v>0.15108258984707826</v>
      </c>
      <c r="L7" s="67">
        <v>0.21942027136763137</v>
      </c>
      <c r="M7" s="67">
        <v>0.11741372571045029</v>
      </c>
    </row>
    <row r="8" spans="1:13" x14ac:dyDescent="0.35">
      <c r="B8" s="18" t="s">
        <v>57</v>
      </c>
      <c r="C8" s="67">
        <v>0.60768379261049754</v>
      </c>
      <c r="D8" s="67">
        <v>0.42493585291630032</v>
      </c>
      <c r="E8" s="67">
        <v>0.12929452177850967</v>
      </c>
      <c r="F8" s="67">
        <v>0.47192415717849556</v>
      </c>
      <c r="G8" s="67">
        <v>0.62577540516000685</v>
      </c>
      <c r="H8" s="67">
        <v>0.61148992708413741</v>
      </c>
      <c r="I8" s="67">
        <v>0.58247124641666825</v>
      </c>
      <c r="J8" s="67">
        <v>0.50224704699571909</v>
      </c>
      <c r="K8" s="67">
        <v>0.5170387699457738</v>
      </c>
      <c r="L8" s="67">
        <v>0.48219063592500383</v>
      </c>
      <c r="M8" s="67">
        <v>0.51505793135368561</v>
      </c>
    </row>
    <row r="9" spans="1:13" x14ac:dyDescent="0.35">
      <c r="B9" s="18" t="s">
        <v>5</v>
      </c>
      <c r="C9" s="67">
        <v>0.15201574932522488</v>
      </c>
      <c r="D9" s="67">
        <v>0.28860507204519753</v>
      </c>
      <c r="E9" s="67">
        <v>0.5454180494030465</v>
      </c>
      <c r="F9" s="67">
        <v>0.25013444979777111</v>
      </c>
      <c r="G9" s="67">
        <v>0.10671336054360751</v>
      </c>
      <c r="H9" s="67">
        <v>7.7936957339478016E-2</v>
      </c>
      <c r="I9" s="67">
        <v>0.14086488643528977</v>
      </c>
      <c r="J9" s="67">
        <v>9.1265045135844949E-2</v>
      </c>
      <c r="K9" s="67">
        <v>9.712121110185902E-2</v>
      </c>
      <c r="L9" s="67">
        <v>0.10753361488990335</v>
      </c>
      <c r="M9" s="67">
        <v>0.15515573394584947</v>
      </c>
    </row>
    <row r="10" spans="1:13" x14ac:dyDescent="0.35">
      <c r="B10" s="18" t="s">
        <v>58</v>
      </c>
      <c r="C10" s="67">
        <v>1.6277103133763994E-2</v>
      </c>
      <c r="D10" s="67">
        <v>1.318297005478339E-2</v>
      </c>
      <c r="E10" s="67">
        <v>2.6325690242898311E-2</v>
      </c>
      <c r="F10" s="67">
        <v>7.5407873055755364E-3</v>
      </c>
      <c r="G10" s="67">
        <v>1.6580748493136965E-2</v>
      </c>
      <c r="H10" s="67">
        <v>7.4644624047810358E-3</v>
      </c>
      <c r="I10" s="67">
        <v>4.6761233607110616E-3</v>
      </c>
      <c r="J10" s="67">
        <v>2.1703197724250649E-2</v>
      </c>
      <c r="K10" s="67">
        <v>2.3748996039589892E-2</v>
      </c>
      <c r="L10" s="67">
        <v>1.5497081159848299E-2</v>
      </c>
      <c r="M10" s="67">
        <v>1.551302575225892E-2</v>
      </c>
    </row>
    <row r="11" spans="1:13" x14ac:dyDescent="0.35">
      <c r="B11" s="18" t="s">
        <v>59</v>
      </c>
      <c r="C11" s="67">
        <v>9.4020845962614255E-6</v>
      </c>
      <c r="D11" s="67">
        <v>0</v>
      </c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4.8400892092869317E-7</v>
      </c>
    </row>
    <row r="12" spans="1:13" x14ac:dyDescent="0.35">
      <c r="B12" s="23"/>
      <c r="C12" s="21">
        <v>0.99999999999999989</v>
      </c>
      <c r="D12" s="21">
        <v>1</v>
      </c>
      <c r="E12" s="21">
        <v>1</v>
      </c>
      <c r="F12" s="21">
        <v>1</v>
      </c>
      <c r="G12" s="21">
        <v>0.99999999999999989</v>
      </c>
      <c r="H12" s="21">
        <v>1</v>
      </c>
      <c r="I12" s="21">
        <v>1</v>
      </c>
      <c r="J12" s="21">
        <v>1.0000000000000002</v>
      </c>
      <c r="K12" s="21">
        <v>1</v>
      </c>
      <c r="L12" s="21">
        <v>1</v>
      </c>
      <c r="M12" s="21">
        <v>0.99999999999999989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workbookViewId="0">
      <selection activeCell="D17" sqref="D17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5.54296875" style="15" customWidth="1"/>
    <col min="7" max="7" width="15.6328125" style="15" bestFit="1" customWidth="1"/>
    <col min="8" max="8" width="14.6328125" style="15" customWidth="1"/>
    <col min="9" max="9" width="11" style="15" bestFit="1" customWidth="1"/>
    <col min="10" max="12" width="11.26953125" style="15" bestFit="1" customWidth="1"/>
    <col min="13" max="13" width="11.7265625" style="28" customWidth="1"/>
    <col min="14" max="16384" width="9.1796875" style="28"/>
  </cols>
  <sheetData>
    <row r="1" spans="1:15" x14ac:dyDescent="0.35">
      <c r="A1" s="39" t="str">
        <f>'Fixed rate bond (Values)'!A1</f>
        <v>31 October 2025</v>
      </c>
    </row>
    <row r="2" spans="1:15" x14ac:dyDescent="0.35">
      <c r="A2" s="17"/>
      <c r="B2" s="18" t="s">
        <v>40</v>
      </c>
      <c r="C2" s="18" t="s">
        <v>75</v>
      </c>
      <c r="D2" s="52" t="s">
        <v>79</v>
      </c>
      <c r="E2" s="52" t="s">
        <v>91</v>
      </c>
      <c r="F2" s="52" t="s">
        <v>92</v>
      </c>
      <c r="G2" s="52" t="s">
        <v>52</v>
      </c>
      <c r="M2" s="15"/>
      <c r="N2" s="15"/>
    </row>
    <row r="3" spans="1:15" x14ac:dyDescent="0.35">
      <c r="B3" s="18" t="s">
        <v>53</v>
      </c>
      <c r="C3" s="63">
        <v>214814011</v>
      </c>
      <c r="D3" s="63">
        <v>668270000</v>
      </c>
      <c r="E3" s="63">
        <v>172330000</v>
      </c>
      <c r="F3" s="63">
        <v>61140000</v>
      </c>
      <c r="G3" s="53">
        <v>1116554011</v>
      </c>
      <c r="M3" s="15"/>
      <c r="N3" s="15"/>
      <c r="O3" s="50"/>
    </row>
    <row r="4" spans="1:15" x14ac:dyDescent="0.35">
      <c r="B4" s="18" t="s">
        <v>71</v>
      </c>
      <c r="C4" s="63">
        <v>49710164877</v>
      </c>
      <c r="D4" s="63">
        <v>55076741227</v>
      </c>
      <c r="E4" s="63">
        <v>21915514000</v>
      </c>
      <c r="F4" s="63">
        <v>2457400000</v>
      </c>
      <c r="G4" s="53">
        <v>129159820104</v>
      </c>
      <c r="M4" s="15"/>
      <c r="N4" s="15"/>
      <c r="O4" s="50"/>
    </row>
    <row r="5" spans="1:15" x14ac:dyDescent="0.35">
      <c r="B5" s="18" t="s">
        <v>54</v>
      </c>
      <c r="C5" s="63">
        <v>1551040000</v>
      </c>
      <c r="D5" s="63">
        <v>10076601000</v>
      </c>
      <c r="E5" s="63">
        <v>2387999000</v>
      </c>
      <c r="F5" s="63">
        <v>1594740000</v>
      </c>
      <c r="G5" s="53">
        <v>15610380000</v>
      </c>
      <c r="M5" s="15"/>
      <c r="N5" s="15"/>
      <c r="O5" s="50"/>
    </row>
    <row r="6" spans="1:15" x14ac:dyDescent="0.35">
      <c r="B6" s="18" t="s">
        <v>55</v>
      </c>
      <c r="C6" s="63">
        <v>1404550000</v>
      </c>
      <c r="D6" s="63">
        <v>614627000</v>
      </c>
      <c r="E6" s="63">
        <v>689973000</v>
      </c>
      <c r="F6" s="63">
        <v>150470000</v>
      </c>
      <c r="G6" s="53">
        <v>2859620000</v>
      </c>
      <c r="M6" s="15"/>
      <c r="N6" s="15"/>
      <c r="O6" s="50"/>
    </row>
    <row r="7" spans="1:15" x14ac:dyDescent="0.35">
      <c r="B7" s="18" t="s">
        <v>56</v>
      </c>
      <c r="C7" s="63">
        <v>87800000</v>
      </c>
      <c r="D7" s="63">
        <v>718656000</v>
      </c>
      <c r="E7" s="63">
        <v>365580000</v>
      </c>
      <c r="F7" s="63">
        <v>72430000</v>
      </c>
      <c r="G7" s="53">
        <v>1244466000</v>
      </c>
      <c r="M7" s="15"/>
      <c r="N7" s="15"/>
      <c r="O7" s="50"/>
    </row>
    <row r="8" spans="1:15" x14ac:dyDescent="0.35">
      <c r="B8" s="18" t="s">
        <v>57</v>
      </c>
      <c r="C8" s="63">
        <v>43000000</v>
      </c>
      <c r="D8" s="63">
        <v>414287000</v>
      </c>
      <c r="E8" s="63">
        <v>77200000</v>
      </c>
      <c r="F8" s="63">
        <v>40800000</v>
      </c>
      <c r="G8" s="53">
        <v>575287000</v>
      </c>
      <c r="M8" s="15"/>
      <c r="N8" s="15"/>
      <c r="O8" s="50"/>
    </row>
    <row r="9" spans="1:15" x14ac:dyDescent="0.35">
      <c r="B9" s="18" t="s">
        <v>5</v>
      </c>
      <c r="C9" s="63">
        <v>17888032509</v>
      </c>
      <c r="D9" s="63">
        <v>44218017773</v>
      </c>
      <c r="E9" s="63">
        <v>24716604000</v>
      </c>
      <c r="F9" s="63">
        <v>14562690000</v>
      </c>
      <c r="G9" s="53">
        <v>101385344282</v>
      </c>
      <c r="M9" s="15"/>
      <c r="N9" s="15"/>
      <c r="O9" s="50"/>
    </row>
    <row r="10" spans="1:15" x14ac:dyDescent="0.35">
      <c r="B10" s="18" t="s">
        <v>58</v>
      </c>
      <c r="C10" s="63">
        <v>175598603</v>
      </c>
      <c r="D10" s="63">
        <v>652800000</v>
      </c>
      <c r="E10" s="63">
        <v>534800000</v>
      </c>
      <c r="F10" s="63">
        <v>170330000</v>
      </c>
      <c r="G10" s="53">
        <v>1533528603</v>
      </c>
      <c r="M10" s="15"/>
      <c r="N10" s="15"/>
      <c r="O10" s="50"/>
    </row>
    <row r="11" spans="1:15" x14ac:dyDescent="0.35">
      <c r="B11" s="19" t="s">
        <v>59</v>
      </c>
      <c r="C11" s="64">
        <v>0</v>
      </c>
      <c r="D11" s="64">
        <v>0</v>
      </c>
      <c r="E11" s="64">
        <v>0</v>
      </c>
      <c r="F11" s="64">
        <v>0</v>
      </c>
      <c r="G11" s="53">
        <v>0</v>
      </c>
      <c r="M11" s="15"/>
      <c r="N11" s="15"/>
      <c r="O11" s="50"/>
    </row>
    <row r="12" spans="1:15" x14ac:dyDescent="0.35">
      <c r="B12" s="19"/>
      <c r="C12" s="20">
        <v>71075000000</v>
      </c>
      <c r="D12" s="20">
        <v>112440000000</v>
      </c>
      <c r="E12" s="20">
        <v>50860000000</v>
      </c>
      <c r="F12" s="20">
        <v>19110000000</v>
      </c>
      <c r="G12" s="53">
        <v>253485000000</v>
      </c>
      <c r="H12" s="26"/>
      <c r="M12" s="15"/>
      <c r="N12" s="15"/>
    </row>
    <row r="13" spans="1:15" x14ac:dyDescent="0.35">
      <c r="C13" s="30"/>
      <c r="D13" s="30"/>
      <c r="E13" s="30"/>
      <c r="F13" s="30"/>
      <c r="M13" s="15"/>
      <c r="N13" s="15"/>
    </row>
    <row r="17" spans="2:12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2:12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2:12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2:12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opLeftCell="B1" workbookViewId="0">
      <selection activeCell="D16" sqref="D16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3" width="13.26953125" style="15" customWidth="1"/>
    <col min="4" max="4" width="13.26953125" style="15" bestFit="1" customWidth="1"/>
    <col min="5" max="6" width="13.26953125" style="15" customWidth="1"/>
    <col min="7" max="16384" width="8.7265625" style="15"/>
  </cols>
  <sheetData>
    <row r="1" spans="1:7" ht="14" x14ac:dyDescent="0.3">
      <c r="A1" s="39" t="str">
        <f>'Fixed rate bond (Values)'!A1</f>
        <v>31 October 2025</v>
      </c>
    </row>
    <row r="3" spans="1:7" ht="13" x14ac:dyDescent="0.3">
      <c r="B3" s="18" t="s">
        <v>40</v>
      </c>
      <c r="C3" s="22" t="s">
        <v>75</v>
      </c>
      <c r="D3" s="70" t="s">
        <v>79</v>
      </c>
      <c r="E3" s="70" t="s">
        <v>91</v>
      </c>
      <c r="F3" s="70" t="s">
        <v>92</v>
      </c>
      <c r="G3" s="70" t="s">
        <v>70</v>
      </c>
    </row>
    <row r="4" spans="1:7" ht="13" x14ac:dyDescent="0.3">
      <c r="B4" s="18" t="s">
        <v>53</v>
      </c>
      <c r="C4" s="66">
        <v>3.0223568202602884E-3</v>
      </c>
      <c r="D4" s="69">
        <v>5.9433475631447885E-3</v>
      </c>
      <c r="E4" s="69">
        <v>3.3883208808493906E-3</v>
      </c>
      <c r="F4" s="69">
        <v>3.1993720565149136E-3</v>
      </c>
      <c r="G4" s="68">
        <v>4.404812951456694E-3</v>
      </c>
    </row>
    <row r="5" spans="1:7" ht="13" x14ac:dyDescent="0.3">
      <c r="B5" s="18" t="s">
        <v>71</v>
      </c>
      <c r="C5" s="66">
        <v>0.6994043598593036</v>
      </c>
      <c r="D5" s="69">
        <v>0.48983227700996085</v>
      </c>
      <c r="E5" s="69">
        <v>0.43089882029099491</v>
      </c>
      <c r="F5" s="69">
        <v>0.12859236002093144</v>
      </c>
      <c r="G5" s="68">
        <v>0.50953634378365587</v>
      </c>
    </row>
    <row r="6" spans="1:7" ht="13" x14ac:dyDescent="0.3">
      <c r="B6" s="18" t="s">
        <v>54</v>
      </c>
      <c r="C6" s="66">
        <v>2.1822581779810061E-2</v>
      </c>
      <c r="D6" s="69">
        <v>8.9617582710779076E-2</v>
      </c>
      <c r="E6" s="69">
        <v>4.6952398741643725E-2</v>
      </c>
      <c r="F6" s="69">
        <v>8.3450549450549444E-2</v>
      </c>
      <c r="G6" s="68">
        <v>6.1583052251612522E-2</v>
      </c>
    </row>
    <row r="7" spans="1:7" ht="13" x14ac:dyDescent="0.3">
      <c r="B7" s="18" t="s">
        <v>55</v>
      </c>
      <c r="C7" s="66">
        <v>1.976151952163208E-2</v>
      </c>
      <c r="D7" s="69">
        <v>5.4662664532194949E-3</v>
      </c>
      <c r="E7" s="69">
        <v>1.3566122689736532E-2</v>
      </c>
      <c r="F7" s="69">
        <v>7.8738880167451598E-3</v>
      </c>
      <c r="G7" s="68">
        <v>1.1281219796043159E-2</v>
      </c>
    </row>
    <row r="8" spans="1:7" ht="13" x14ac:dyDescent="0.3">
      <c r="B8" s="18" t="s">
        <v>56</v>
      </c>
      <c r="C8" s="66">
        <v>1.2353148083010905E-3</v>
      </c>
      <c r="D8" s="69">
        <v>6.3914621131270014E-3</v>
      </c>
      <c r="E8" s="69">
        <v>7.1879669681478566E-3</v>
      </c>
      <c r="F8" s="69">
        <v>3.7901622187336472E-3</v>
      </c>
      <c r="G8" s="68">
        <v>4.9094265932895439E-3</v>
      </c>
    </row>
    <row r="9" spans="1:7" ht="13" x14ac:dyDescent="0.3">
      <c r="B9" s="18" t="s">
        <v>57</v>
      </c>
      <c r="C9" s="66">
        <v>6.04994723883222E-4</v>
      </c>
      <c r="D9" s="69">
        <v>3.6845161864105299E-3</v>
      </c>
      <c r="E9" s="69">
        <v>1.5178922532441998E-3</v>
      </c>
      <c r="F9" s="69">
        <v>2.1350078492935634E-3</v>
      </c>
      <c r="G9" s="68">
        <v>2.2695110164309526E-3</v>
      </c>
    </row>
    <row r="10" spans="1:7" ht="13" x14ac:dyDescent="0.3">
      <c r="B10" s="18" t="s">
        <v>5</v>
      </c>
      <c r="C10" s="66">
        <v>0.25167826252550124</v>
      </c>
      <c r="D10" s="69">
        <v>0.39325878488971894</v>
      </c>
      <c r="E10" s="69">
        <v>0.48597333857648445</v>
      </c>
      <c r="F10" s="69">
        <v>0.76204552590266872</v>
      </c>
      <c r="G10" s="68">
        <v>0.39996585313529398</v>
      </c>
    </row>
    <row r="11" spans="1:7" ht="13" x14ac:dyDescent="0.3">
      <c r="B11" s="18" t="s">
        <v>58</v>
      </c>
      <c r="C11" s="66">
        <v>2.4706099613084767E-3</v>
      </c>
      <c r="D11" s="69">
        <v>5.8057630736392746E-3</v>
      </c>
      <c r="E11" s="69">
        <v>1.0515139598898939E-2</v>
      </c>
      <c r="F11" s="69">
        <v>8.913134484563056E-3</v>
      </c>
      <c r="G11" s="68">
        <v>6.0497804722172907E-3</v>
      </c>
    </row>
    <row r="12" spans="1:7" ht="13" x14ac:dyDescent="0.3">
      <c r="B12" s="18" t="s">
        <v>59</v>
      </c>
      <c r="C12" s="66">
        <v>0</v>
      </c>
      <c r="D12" s="69">
        <v>0</v>
      </c>
      <c r="E12" s="69">
        <v>0</v>
      </c>
      <c r="F12" s="69">
        <v>0</v>
      </c>
      <c r="G12" s="68">
        <v>0</v>
      </c>
    </row>
    <row r="13" spans="1:7" ht="13" x14ac:dyDescent="0.3">
      <c r="B13" s="23"/>
      <c r="C13" s="21">
        <v>1</v>
      </c>
      <c r="D13" s="21">
        <v>1</v>
      </c>
      <c r="E13" s="21">
        <v>1</v>
      </c>
      <c r="F13" s="21">
        <v>1</v>
      </c>
      <c r="G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topLeftCell="B1" workbookViewId="0">
      <selection activeCell="D18" sqref="D18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8" bestFit="1" customWidth="1"/>
  </cols>
  <sheetData>
    <row r="1" spans="1:7" x14ac:dyDescent="0.35">
      <c r="A1" s="62" t="str">
        <f>'FRN % (Values)'!A1</f>
        <v>31 October 2025</v>
      </c>
    </row>
    <row r="2" spans="1:7" x14ac:dyDescent="0.35">
      <c r="B2" s="18" t="s">
        <v>40</v>
      </c>
      <c r="C2" s="18" t="s">
        <v>84</v>
      </c>
      <c r="D2" s="52" t="s">
        <v>85</v>
      </c>
      <c r="E2" s="52" t="s">
        <v>86</v>
      </c>
      <c r="F2" s="52" t="s">
        <v>87</v>
      </c>
      <c r="G2" s="18" t="s">
        <v>52</v>
      </c>
    </row>
    <row r="3" spans="1:7" x14ac:dyDescent="0.35">
      <c r="B3" s="18" t="s">
        <v>53</v>
      </c>
      <c r="C3" s="63">
        <v>0</v>
      </c>
      <c r="D3" s="63">
        <v>0</v>
      </c>
      <c r="E3" s="63">
        <v>0</v>
      </c>
      <c r="F3" s="63">
        <v>0</v>
      </c>
      <c r="G3" s="52">
        <v>0</v>
      </c>
    </row>
    <row r="4" spans="1:7" x14ac:dyDescent="0.35">
      <c r="B4" s="18" t="s">
        <v>71</v>
      </c>
      <c r="C4" s="63">
        <v>5863785000</v>
      </c>
      <c r="D4" s="63">
        <v>7877000000</v>
      </c>
      <c r="E4" s="63">
        <v>1240000000</v>
      </c>
      <c r="F4" s="63">
        <v>621000000</v>
      </c>
      <c r="G4" s="52">
        <v>15601785000</v>
      </c>
    </row>
    <row r="5" spans="1:7" x14ac:dyDescent="0.35">
      <c r="B5" s="18" t="s">
        <v>54</v>
      </c>
      <c r="C5" s="63">
        <v>28500000</v>
      </c>
      <c r="D5" s="63">
        <v>39615000</v>
      </c>
      <c r="E5" s="63">
        <v>30700000</v>
      </c>
      <c r="F5" s="63">
        <v>0</v>
      </c>
      <c r="G5" s="52">
        <v>98815000</v>
      </c>
    </row>
    <row r="6" spans="1:7" x14ac:dyDescent="0.35">
      <c r="B6" s="18" t="s">
        <v>55</v>
      </c>
      <c r="C6" s="63">
        <v>0</v>
      </c>
      <c r="D6" s="63">
        <v>0</v>
      </c>
      <c r="E6" s="63">
        <v>0</v>
      </c>
      <c r="F6" s="63">
        <v>0</v>
      </c>
      <c r="G6" s="52">
        <v>0</v>
      </c>
    </row>
    <row r="7" spans="1:7" x14ac:dyDescent="0.35">
      <c r="B7" s="18" t="s">
        <v>56</v>
      </c>
      <c r="C7" s="63">
        <v>0</v>
      </c>
      <c r="D7" s="63">
        <v>9597459</v>
      </c>
      <c r="E7" s="63">
        <v>9592090</v>
      </c>
      <c r="F7" s="63">
        <v>0</v>
      </c>
      <c r="G7" s="52">
        <v>19189549</v>
      </c>
    </row>
    <row r="8" spans="1:7" x14ac:dyDescent="0.35">
      <c r="B8" s="18" t="s">
        <v>57</v>
      </c>
      <c r="C8" s="63">
        <v>35000000</v>
      </c>
      <c r="D8" s="63">
        <v>0</v>
      </c>
      <c r="E8" s="63">
        <v>78300000</v>
      </c>
      <c r="F8" s="63">
        <v>92300000</v>
      </c>
      <c r="G8" s="52">
        <v>205600000</v>
      </c>
    </row>
    <row r="9" spans="1:7" x14ac:dyDescent="0.35">
      <c r="B9" s="18" t="s">
        <v>5</v>
      </c>
      <c r="C9" s="63">
        <v>1562715000</v>
      </c>
      <c r="D9" s="63">
        <v>907746618</v>
      </c>
      <c r="E9" s="63">
        <v>1115317910</v>
      </c>
      <c r="F9" s="63">
        <v>828700000</v>
      </c>
      <c r="G9" s="52">
        <v>4414479528</v>
      </c>
    </row>
    <row r="10" spans="1:7" x14ac:dyDescent="0.35">
      <c r="B10" s="18" t="s">
        <v>58</v>
      </c>
      <c r="C10" s="63">
        <v>0</v>
      </c>
      <c r="D10" s="63">
        <v>32040923</v>
      </c>
      <c r="E10" s="63">
        <v>5090000</v>
      </c>
      <c r="F10" s="63">
        <v>9000000</v>
      </c>
      <c r="G10" s="52">
        <v>46130923</v>
      </c>
    </row>
    <row r="11" spans="1:7" x14ac:dyDescent="0.35">
      <c r="B11" s="19" t="s">
        <v>59</v>
      </c>
      <c r="C11" s="64">
        <v>0</v>
      </c>
      <c r="D11" s="64">
        <v>0</v>
      </c>
      <c r="E11" s="64">
        <v>0</v>
      </c>
      <c r="F11" s="64">
        <v>0</v>
      </c>
      <c r="G11" s="52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D17" sqref="D17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8"/>
  </cols>
  <sheetData>
    <row r="1" spans="1:7" x14ac:dyDescent="0.35">
      <c r="A1" s="62" t="str">
        <f>'Sukuk (Values)'!A1</f>
        <v>31 October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6">
        <v>0</v>
      </c>
      <c r="D3" s="66">
        <v>0</v>
      </c>
      <c r="E3" s="66">
        <v>0</v>
      </c>
      <c r="F3" s="66">
        <v>0</v>
      </c>
      <c r="G3" s="68">
        <v>0</v>
      </c>
    </row>
    <row r="4" spans="1:7" x14ac:dyDescent="0.35">
      <c r="B4" s="18" t="s">
        <v>71</v>
      </c>
      <c r="C4" s="66">
        <v>0.78288184245660886</v>
      </c>
      <c r="D4" s="66">
        <v>0.88845025941800138</v>
      </c>
      <c r="E4" s="66">
        <v>0.50020169423154492</v>
      </c>
      <c r="F4" s="66">
        <v>0.40038684719535783</v>
      </c>
      <c r="G4" s="68">
        <v>0.76531860100068672</v>
      </c>
    </row>
    <row r="5" spans="1:7" x14ac:dyDescent="0.35">
      <c r="B5" s="18" t="s">
        <v>54</v>
      </c>
      <c r="C5" s="66">
        <v>3.8050734312416556E-3</v>
      </c>
      <c r="D5" s="66">
        <v>4.468193097225355E-3</v>
      </c>
      <c r="E5" s="66">
        <v>1.2384025816861637E-2</v>
      </c>
      <c r="F5" s="66">
        <v>0</v>
      </c>
      <c r="G5" s="68">
        <v>4.84719905817718E-3</v>
      </c>
    </row>
    <row r="6" spans="1:7" x14ac:dyDescent="0.35">
      <c r="B6" s="18" t="s">
        <v>55</v>
      </c>
      <c r="C6" s="66">
        <v>0</v>
      </c>
      <c r="D6" s="66">
        <v>0</v>
      </c>
      <c r="E6" s="66">
        <v>0</v>
      </c>
      <c r="F6" s="66">
        <v>0</v>
      </c>
      <c r="G6" s="68">
        <v>0</v>
      </c>
    </row>
    <row r="7" spans="1:7" x14ac:dyDescent="0.35">
      <c r="B7" s="18" t="s">
        <v>56</v>
      </c>
      <c r="C7" s="66">
        <v>0</v>
      </c>
      <c r="D7" s="66">
        <v>1.0825015790660952E-3</v>
      </c>
      <c r="E7" s="66">
        <v>3.8693384429205327E-3</v>
      </c>
      <c r="F7" s="66">
        <v>0</v>
      </c>
      <c r="G7" s="68">
        <v>9.4131016383792803E-4</v>
      </c>
    </row>
    <row r="8" spans="1:7" x14ac:dyDescent="0.35">
      <c r="B8" s="18" t="s">
        <v>57</v>
      </c>
      <c r="C8" s="66">
        <v>4.6728971962616819E-3</v>
      </c>
      <c r="D8" s="66">
        <v>0</v>
      </c>
      <c r="E8" s="66">
        <v>3.1585316659943526E-2</v>
      </c>
      <c r="F8" s="66">
        <v>5.9509993552546742E-2</v>
      </c>
      <c r="G8" s="68">
        <v>1.0085352693024624E-2</v>
      </c>
    </row>
    <row r="9" spans="1:7" x14ac:dyDescent="0.35">
      <c r="B9" s="18" t="s">
        <v>5</v>
      </c>
      <c r="C9" s="66">
        <v>0.20864018691588784</v>
      </c>
      <c r="D9" s="66">
        <v>0.10238513625084593</v>
      </c>
      <c r="E9" s="66">
        <v>0.44990637757160146</v>
      </c>
      <c r="F9" s="66">
        <v>0.53430045132172788</v>
      </c>
      <c r="G9" s="68">
        <v>0.21654466437751399</v>
      </c>
    </row>
    <row r="10" spans="1:7" x14ac:dyDescent="0.35">
      <c r="B10" s="18" t="s">
        <v>58</v>
      </c>
      <c r="C10" s="66">
        <v>0</v>
      </c>
      <c r="D10" s="66">
        <v>3.6139096548612679E-3</v>
      </c>
      <c r="E10" s="66">
        <v>2.0532472771278743E-3</v>
      </c>
      <c r="F10" s="66">
        <v>5.8027079303675051E-3</v>
      </c>
      <c r="G10" s="68">
        <v>2.2628727067595411E-3</v>
      </c>
    </row>
    <row r="11" spans="1:7" x14ac:dyDescent="0.35">
      <c r="B11" s="18" t="s">
        <v>59</v>
      </c>
      <c r="C11" s="66">
        <v>0</v>
      </c>
      <c r="D11" s="66">
        <v>0</v>
      </c>
      <c r="E11" s="66">
        <v>0</v>
      </c>
      <c r="F11" s="66">
        <v>0</v>
      </c>
      <c r="G11" s="68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Malerato Phokane</cp:lastModifiedBy>
  <dcterms:created xsi:type="dcterms:W3CDTF">2016-03-09T09:54:02Z</dcterms:created>
  <dcterms:modified xsi:type="dcterms:W3CDTF">2025-11-04T12:24:09Z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