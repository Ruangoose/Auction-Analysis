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4\Documents\Investor relations\"/>
    </mc:Choice>
  </mc:AlternateContent>
  <xr:revisionPtr revIDLastSave="0" documentId="8_{4346F1DD-6B5D-494D-AC5C-F3491F7C602C}" xr6:coauthVersionLast="47" xr6:coauthVersionMax="47" xr10:uidLastSave="{00000000-0000-0000-0000-000000000000}"/>
  <bookViews>
    <workbookView xWindow="-110" yWindow="-110" windowWidth="19420" windowHeight="10420" firstSheet="2" activeTab="6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  <c r="E5" i="6"/>
  <c r="E6" i="6"/>
  <c r="E12" i="6" s="1"/>
  <c r="E7" i="6"/>
  <c r="E8" i="6"/>
  <c r="E9" i="6"/>
  <c r="E10" i="6"/>
  <c r="E11" i="6"/>
  <c r="E3" i="6"/>
  <c r="D12" i="6"/>
  <c r="C12" i="6"/>
  <c r="N4" i="4"/>
  <c r="N5" i="4"/>
  <c r="N6" i="4"/>
  <c r="N7" i="4"/>
  <c r="N8" i="4"/>
  <c r="N9" i="4"/>
  <c r="N10" i="4"/>
  <c r="N11" i="4"/>
  <c r="N3" i="4"/>
  <c r="N12" i="4" s="1"/>
  <c r="D12" i="4"/>
  <c r="E12" i="4"/>
  <c r="F12" i="4"/>
  <c r="G12" i="4"/>
  <c r="H12" i="4"/>
  <c r="I12" i="4"/>
  <c r="J12" i="4"/>
  <c r="K12" i="4"/>
  <c r="L12" i="4"/>
  <c r="M12" i="4"/>
  <c r="C12" i="4"/>
  <c r="O5" i="2"/>
  <c r="O6" i="2"/>
  <c r="O7" i="2"/>
  <c r="O8" i="2"/>
  <c r="O9" i="2"/>
  <c r="O10" i="2"/>
  <c r="O11" i="2"/>
  <c r="O4" i="2"/>
  <c r="O3" i="2"/>
  <c r="D12" i="2"/>
  <c r="E12" i="2"/>
  <c r="F12" i="2"/>
  <c r="G12" i="2"/>
  <c r="H12" i="2"/>
  <c r="I12" i="2"/>
  <c r="J12" i="2"/>
  <c r="K12" i="2"/>
  <c r="L12" i="2"/>
  <c r="M12" i="2"/>
  <c r="N12" i="2"/>
  <c r="C12" i="2"/>
  <c r="A1" i="4"/>
  <c r="A1" i="5"/>
  <c r="A1" i="6"/>
  <c r="A1" i="7"/>
  <c r="A1" i="3"/>
  <c r="O12" i="2" l="1"/>
</calcChain>
</file>

<file path=xl/sharedStrings.xml><?xml version="1.0" encoding="utf-8"?>
<sst xmlns="http://schemas.openxmlformats.org/spreadsheetml/2006/main" count="294" uniqueCount="85">
  <si>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</si>
  <si>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</si>
  <si>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</si>
  <si>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</si>
  <si>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</si>
  <si>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</si>
  <si>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</si>
  <si>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</si>
  <si>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</si>
  <si>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</si>
  <si>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</si>
  <si>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</si>
  <si>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</si>
  <si>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</si>
  <si>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</si>
  <si>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</si>
  <si>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</si>
  <si>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</si>
  <si>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</si>
  <si>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</si>
  <si>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</si>
  <si>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</si>
  <si>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</si>
  <si>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</si>
  <si>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</si>
  <si>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</si>
  <si>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</si>
  <si>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</si>
  <si>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</si>
  <si>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</si>
  <si>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</si>
  <si>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</si>
  <si>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</si>
  <si>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</si>
  <si>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</si>
  <si>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</si>
  <si>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</si>
  <si>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</si>
  <si>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</si>
  <si>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</si>
  <si>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</si>
  <si>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</si>
  <si>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</si>
  <si>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</si>
  <si>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</si>
  <si>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</si>
  <si>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</si>
  <si>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</si>
  <si>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</si>
  <si>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</si>
  <si>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</si>
  <si>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</si>
  <si>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</si>
  <si>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</si>
  <si>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</si>
  <si>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</si>
  <si>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</si>
  <si>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</si>
  <si>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</si>
  <si>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</si>
  <si>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</si>
  <si>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</si>
  <si>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</si>
  <si>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</si>
  <si>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</si>
  <si>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</si>
  <si>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</si>
  <si>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</si>
  <si>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</si>
  <si>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</si>
  <si>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</si>
  <si>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</si>
  <si>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</si>
  <si>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</si>
  <si>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</si>
  <si>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</si>
  <si>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</si>
  <si>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</si>
  <si>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</si>
  <si>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</si>
  <si>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</si>
  <si>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</si>
  <si>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</si>
  <si>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</si>
  <si>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29 December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</si>
</sst>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0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9"/>
  <sheetViews>
    <sheetView workbookViewId="0">
      <pane ySplit="1" topLeftCell="A145" activePane="bottomLeft" state="frozen"/>
      <selection pane="bottomLeft" activeCell="H162" sqref="H162"/>
    </sheetView>
  </sheetViews>
  <sheetFormatPr defaultRowHeight="14.5" x14ac:dyDescent="0.35"/>
  <cols>
    <col min="1" max="1" width="10.1796875" style="6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69" t="s">
        <v>0</v>
      </c>
      <c r="B1" s="69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3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3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3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3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3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4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4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4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4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6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7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2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2" t="s">
        <v>68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8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8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8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1" t="s">
        <v>69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1" t="s">
        <v>70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1" t="s">
        <v>73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1" t="s">
        <v>74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1" t="s">
        <v>75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6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1" t="s">
        <v>77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topLeftCell="I1" workbookViewId="0">
      <selection activeCell="P11" sqref="P11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3" width="17.81640625" style="15" bestFit="1" customWidth="1"/>
    <col min="4" max="7" width="18.7265625" style="15" bestFit="1" customWidth="1"/>
    <col min="8" max="8" width="17.81640625" style="15" bestFit="1" customWidth="1"/>
    <col min="9" max="10" width="18.7265625" style="15" bestFit="1" customWidth="1"/>
    <col min="11" max="12" width="17.81640625" style="15" bestFit="1" customWidth="1"/>
    <col min="13" max="13" width="20.453125" style="15" bestFit="1" customWidth="1"/>
    <col min="14" max="14" width="22.54296875" customWidth="1"/>
    <col min="15" max="15" width="20.26953125" bestFit="1" customWidth="1"/>
    <col min="16" max="16" width="20.54296875" bestFit="1" customWidth="1"/>
  </cols>
  <sheetData>
    <row r="1" spans="1:16" x14ac:dyDescent="0.35">
      <c r="A1" s="39" t="s">
        <v>84</v>
      </c>
    </row>
    <row r="2" spans="1:16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45</v>
      </c>
      <c r="H2" s="41" t="s">
        <v>46</v>
      </c>
      <c r="I2" s="41" t="s">
        <v>47</v>
      </c>
      <c r="J2" s="41" t="s">
        <v>48</v>
      </c>
      <c r="K2" s="41" t="s">
        <v>49</v>
      </c>
      <c r="L2" s="31" t="s">
        <v>50</v>
      </c>
      <c r="M2" s="31" t="s">
        <v>51</v>
      </c>
      <c r="N2" s="31" t="s">
        <v>78</v>
      </c>
      <c r="O2" s="57" t="s">
        <v>52</v>
      </c>
    </row>
    <row r="3" spans="1:16" x14ac:dyDescent="0.35">
      <c r="B3" s="18" t="s">
        <v>53</v>
      </c>
      <c r="C3" s="51">
        <v>133547216368.89</v>
      </c>
      <c r="D3" s="51">
        <v>91791253924</v>
      </c>
      <c r="E3" s="51">
        <v>61763034014</v>
      </c>
      <c r="F3" s="51">
        <v>79639729343</v>
      </c>
      <c r="G3" s="51">
        <v>101078056991</v>
      </c>
      <c r="H3" s="51">
        <v>32433218635</v>
      </c>
      <c r="I3" s="51">
        <v>85853164274</v>
      </c>
      <c r="J3" s="51">
        <v>67959096576</v>
      </c>
      <c r="K3" s="51">
        <v>46277899412</v>
      </c>
      <c r="L3" s="51">
        <v>71672658171</v>
      </c>
      <c r="M3" s="51">
        <v>88411302551</v>
      </c>
      <c r="N3" s="50">
        <v>7035577118</v>
      </c>
      <c r="O3" s="60">
        <f>SUM(C3:N3)</f>
        <v>867462207377.89001</v>
      </c>
      <c r="P3" s="55"/>
    </row>
    <row r="4" spans="1:16" x14ac:dyDescent="0.35">
      <c r="B4" s="18" t="s">
        <v>72</v>
      </c>
      <c r="C4" s="51">
        <v>106231502630.64999</v>
      </c>
      <c r="D4" s="51">
        <v>92542437417.529999</v>
      </c>
      <c r="E4" s="51">
        <v>46024406026</v>
      </c>
      <c r="F4" s="51">
        <v>64646077673.199997</v>
      </c>
      <c r="G4" s="51">
        <v>26014262654.799999</v>
      </c>
      <c r="H4" s="51">
        <v>12517119053</v>
      </c>
      <c r="I4" s="51">
        <v>26382729014.689999</v>
      </c>
      <c r="J4" s="51">
        <v>30638281129</v>
      </c>
      <c r="K4" s="51">
        <v>15745946008</v>
      </c>
      <c r="L4" s="51">
        <v>25329481646.099998</v>
      </c>
      <c r="M4" s="51">
        <v>123692527394.58</v>
      </c>
      <c r="N4" s="50">
        <v>5041949702</v>
      </c>
      <c r="O4" s="60">
        <f>SUM(C4:N4)</f>
        <v>574806720349.54993</v>
      </c>
    </row>
    <row r="5" spans="1:16" x14ac:dyDescent="0.35">
      <c r="B5" s="18" t="s">
        <v>54</v>
      </c>
      <c r="C5" s="51">
        <v>17439233162.900002</v>
      </c>
      <c r="D5" s="51">
        <v>12304650837</v>
      </c>
      <c r="E5" s="51">
        <v>8000047789</v>
      </c>
      <c r="F5" s="51">
        <v>14816005320</v>
      </c>
      <c r="G5" s="51">
        <v>20717928611</v>
      </c>
      <c r="H5" s="51">
        <v>7072608899</v>
      </c>
      <c r="I5" s="51">
        <v>20493461121</v>
      </c>
      <c r="J5" s="51">
        <v>21518583852</v>
      </c>
      <c r="K5" s="51">
        <v>5679062000</v>
      </c>
      <c r="L5" s="51">
        <v>20390862062</v>
      </c>
      <c r="M5" s="51">
        <v>24114233549</v>
      </c>
      <c r="N5" s="50">
        <v>7487720502</v>
      </c>
      <c r="O5" s="60">
        <f t="shared" ref="O5:O11" si="0">SUM(C5:N5)</f>
        <v>180034397704.89999</v>
      </c>
    </row>
    <row r="6" spans="1:16" x14ac:dyDescent="0.35">
      <c r="B6" s="18" t="s">
        <v>55</v>
      </c>
      <c r="C6" s="51">
        <v>2419663148</v>
      </c>
      <c r="D6" s="51">
        <v>3866921466</v>
      </c>
      <c r="E6" s="51">
        <v>1341839834</v>
      </c>
      <c r="F6" s="51">
        <v>3346738450</v>
      </c>
      <c r="G6" s="51">
        <v>3179066671</v>
      </c>
      <c r="H6" s="51">
        <v>646710955</v>
      </c>
      <c r="I6" s="51">
        <v>3257414839</v>
      </c>
      <c r="J6" s="51">
        <v>1806502700</v>
      </c>
      <c r="K6" s="51">
        <v>665563315</v>
      </c>
      <c r="L6" s="51">
        <v>1585497196</v>
      </c>
      <c r="M6" s="51">
        <v>3746326362</v>
      </c>
      <c r="N6" s="50">
        <v>22485000</v>
      </c>
      <c r="O6" s="60">
        <f t="shared" si="0"/>
        <v>25884729936</v>
      </c>
    </row>
    <row r="7" spans="1:16" x14ac:dyDescent="0.35">
      <c r="B7" s="18" t="s">
        <v>56</v>
      </c>
      <c r="C7" s="51">
        <v>2743009602.73</v>
      </c>
      <c r="D7" s="51">
        <v>6090762856</v>
      </c>
      <c r="E7" s="51">
        <v>3675470381</v>
      </c>
      <c r="F7" s="51">
        <v>11032139395</v>
      </c>
      <c r="G7" s="51">
        <v>11297753518</v>
      </c>
      <c r="H7" s="51">
        <v>4485043865</v>
      </c>
      <c r="I7" s="51">
        <v>8772914677</v>
      </c>
      <c r="J7" s="51">
        <v>7653320022</v>
      </c>
      <c r="K7" s="51">
        <v>1604007177</v>
      </c>
      <c r="L7" s="51">
        <v>8308493289</v>
      </c>
      <c r="M7" s="51">
        <v>8858935977</v>
      </c>
      <c r="N7" s="50">
        <v>658370665</v>
      </c>
      <c r="O7" s="60">
        <f t="shared" si="0"/>
        <v>75180221424.729996</v>
      </c>
    </row>
    <row r="8" spans="1:16" x14ac:dyDescent="0.35">
      <c r="B8" s="18" t="s">
        <v>57</v>
      </c>
      <c r="C8" s="51">
        <v>29778080466.510002</v>
      </c>
      <c r="D8" s="51">
        <v>49879237599</v>
      </c>
      <c r="E8" s="51">
        <v>18805703290</v>
      </c>
      <c r="F8" s="51">
        <v>44241731276</v>
      </c>
      <c r="G8" s="51">
        <v>39532931318</v>
      </c>
      <c r="H8" s="51">
        <v>15302331794</v>
      </c>
      <c r="I8" s="51">
        <v>55365274443</v>
      </c>
      <c r="J8" s="51">
        <v>37611846855</v>
      </c>
      <c r="K8" s="51">
        <v>8296556783</v>
      </c>
      <c r="L8" s="51">
        <v>49162398005</v>
      </c>
      <c r="M8" s="51">
        <v>63632124632</v>
      </c>
      <c r="N8" s="50">
        <v>492908289</v>
      </c>
      <c r="O8" s="60">
        <f t="shared" si="0"/>
        <v>412101124750.51001</v>
      </c>
    </row>
    <row r="9" spans="1:16" x14ac:dyDescent="0.35">
      <c r="B9" s="18" t="s">
        <v>5</v>
      </c>
      <c r="C9" s="51">
        <v>63365212702.759995</v>
      </c>
      <c r="D9" s="51">
        <v>86608666136.470001</v>
      </c>
      <c r="E9" s="51">
        <v>44741190829</v>
      </c>
      <c r="F9" s="51">
        <v>85831889866</v>
      </c>
      <c r="G9" s="51">
        <v>89656870917.199997</v>
      </c>
      <c r="H9" s="51">
        <v>27293895818</v>
      </c>
      <c r="I9" s="51">
        <v>74044256427</v>
      </c>
      <c r="J9" s="51">
        <v>55655429488</v>
      </c>
      <c r="K9" s="51">
        <v>13594962208</v>
      </c>
      <c r="L9" s="51">
        <v>70313923470</v>
      </c>
      <c r="M9" s="51">
        <v>75812988374.419998</v>
      </c>
      <c r="N9" s="50">
        <v>12425578508</v>
      </c>
      <c r="O9" s="60">
        <f t="shared" si="0"/>
        <v>699344864744.84998</v>
      </c>
    </row>
    <row r="10" spans="1:16" x14ac:dyDescent="0.35">
      <c r="B10" s="18" t="s">
        <v>58</v>
      </c>
      <c r="C10" s="51">
        <v>16657650675.450001</v>
      </c>
      <c r="D10" s="51">
        <v>13833086762</v>
      </c>
      <c r="E10" s="51">
        <v>2293969081</v>
      </c>
      <c r="F10" s="51">
        <v>6598023048.8000002</v>
      </c>
      <c r="G10" s="51">
        <v>7220068315</v>
      </c>
      <c r="H10" s="51">
        <v>4507623126</v>
      </c>
      <c r="I10" s="51">
        <v>4593133933.3099995</v>
      </c>
      <c r="J10" s="51">
        <v>6059805029</v>
      </c>
      <c r="K10" s="51">
        <v>1517859593</v>
      </c>
      <c r="L10" s="51">
        <v>2216317101.9000001</v>
      </c>
      <c r="M10" s="51">
        <v>1839829706</v>
      </c>
      <c r="N10" s="50">
        <v>272666077</v>
      </c>
      <c r="O10" s="60">
        <f t="shared" si="0"/>
        <v>67610032448.459999</v>
      </c>
    </row>
    <row r="11" spans="1:16" x14ac:dyDescent="0.35">
      <c r="A11" s="17"/>
      <c r="B11" s="19" t="s">
        <v>59</v>
      </c>
      <c r="C11" s="52">
        <v>468187481</v>
      </c>
      <c r="D11" s="52">
        <v>136643033</v>
      </c>
      <c r="E11" s="52">
        <v>251500000</v>
      </c>
      <c r="F11" s="52">
        <v>10570000</v>
      </c>
      <c r="G11" s="52">
        <v>353932440</v>
      </c>
      <c r="H11" s="52">
        <v>4000000</v>
      </c>
      <c r="I11" s="52">
        <v>1618300</v>
      </c>
      <c r="J11" s="52">
        <v>14482150</v>
      </c>
      <c r="K11" s="52">
        <v>0</v>
      </c>
      <c r="L11" s="52">
        <v>6880000</v>
      </c>
      <c r="M11" s="52">
        <v>272400000</v>
      </c>
      <c r="N11" s="50">
        <v>0</v>
      </c>
      <c r="O11" s="60">
        <f t="shared" si="0"/>
        <v>1520213404</v>
      </c>
    </row>
    <row r="12" spans="1:16" x14ac:dyDescent="0.35">
      <c r="B12" s="19"/>
      <c r="C12" s="20">
        <f>SUM(C3:C11)</f>
        <v>372649756238.89001</v>
      </c>
      <c r="D12" s="20">
        <f t="shared" ref="D12:O12" si="1">SUM(D3:D11)</f>
        <v>357053660031</v>
      </c>
      <c r="E12" s="20">
        <f t="shared" si="1"/>
        <v>186897161244</v>
      </c>
      <c r="F12" s="20">
        <f t="shared" si="1"/>
        <v>310162904372</v>
      </c>
      <c r="G12" s="20">
        <f t="shared" si="1"/>
        <v>299050871436</v>
      </c>
      <c r="H12" s="20">
        <f t="shared" si="1"/>
        <v>104262552145</v>
      </c>
      <c r="I12" s="20">
        <f t="shared" si="1"/>
        <v>278763967029</v>
      </c>
      <c r="J12" s="20">
        <f t="shared" si="1"/>
        <v>228917347801</v>
      </c>
      <c r="K12" s="20">
        <f t="shared" si="1"/>
        <v>93381856496</v>
      </c>
      <c r="L12" s="20">
        <f t="shared" si="1"/>
        <v>248986510941</v>
      </c>
      <c r="M12" s="20">
        <f t="shared" si="1"/>
        <v>390380668546</v>
      </c>
      <c r="N12" s="20">
        <f t="shared" si="1"/>
        <v>33437255861</v>
      </c>
      <c r="O12" s="20">
        <f t="shared" si="1"/>
        <v>2903944512140.8896</v>
      </c>
    </row>
    <row r="13" spans="1:16" x14ac:dyDescent="0.35">
      <c r="M13"/>
    </row>
    <row r="15" spans="1:16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27" spans="3:14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>
      <selection activeCell="C3" sqref="C3:O12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8" width="12" style="15" bestFit="1" customWidth="1"/>
    <col min="9" max="9" width="11" style="15" bestFit="1" customWidth="1"/>
    <col min="10" max="10" width="12" style="15" bestFit="1" customWidth="1"/>
    <col min="11" max="11" width="12" style="15" customWidth="1"/>
    <col min="12" max="12" width="11" style="15" bestFit="1" customWidth="1"/>
    <col min="13" max="14" width="12" style="15" bestFit="1" customWidth="1"/>
    <col min="15" max="15" width="11.36328125" style="28" bestFit="1" customWidth="1"/>
    <col min="16" max="16384" width="9.1796875" style="28"/>
  </cols>
  <sheetData>
    <row r="1" spans="1:15" ht="15" thickBot="1" x14ac:dyDescent="0.4">
      <c r="A1" s="39" t="str">
        <f>'Fixed rate bond (Values)'!A1</f>
        <v>29 December 2023</v>
      </c>
    </row>
    <row r="2" spans="1:15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46</v>
      </c>
      <c r="I2" s="45" t="s">
        <v>47</v>
      </c>
      <c r="J2" s="45" t="s">
        <v>48</v>
      </c>
      <c r="K2" s="45" t="s">
        <v>49</v>
      </c>
      <c r="L2" s="45" t="s">
        <v>50</v>
      </c>
      <c r="M2" s="45" t="s">
        <v>51</v>
      </c>
      <c r="N2" s="45" t="s">
        <v>78</v>
      </c>
      <c r="O2" s="45" t="s">
        <v>71</v>
      </c>
    </row>
    <row r="3" spans="1:15" x14ac:dyDescent="0.35">
      <c r="B3" s="46" t="s">
        <v>53</v>
      </c>
      <c r="C3" s="58">
        <v>0.35837194076487877</v>
      </c>
      <c r="D3" s="58">
        <v>0.25707971713840022</v>
      </c>
      <c r="E3" s="58">
        <v>0.33046534041983899</v>
      </c>
      <c r="F3" s="58">
        <v>0.25676742195927632</v>
      </c>
      <c r="G3" s="58">
        <v>0.33799619611752829</v>
      </c>
      <c r="H3" s="58">
        <v>0.31107255642365705</v>
      </c>
      <c r="I3" s="58">
        <v>0.30797798291150247</v>
      </c>
      <c r="J3" s="58">
        <v>0.29687176279482969</v>
      </c>
      <c r="K3" s="58">
        <v>0.49557699052580206</v>
      </c>
      <c r="L3" s="58">
        <v>0.28785759477541978</v>
      </c>
      <c r="M3" s="58">
        <v>0.22647459178830256</v>
      </c>
      <c r="N3" s="58">
        <v>0.21041131925559842</v>
      </c>
      <c r="O3" s="58">
        <v>0.29871858906090687</v>
      </c>
    </row>
    <row r="4" spans="1:15" x14ac:dyDescent="0.35">
      <c r="B4" s="47" t="s">
        <v>72</v>
      </c>
      <c r="C4" s="58">
        <v>0.28507063496520701</v>
      </c>
      <c r="D4" s="58">
        <v>0.25918355635815443</v>
      </c>
      <c r="E4" s="58">
        <v>0.24625524389807998</v>
      </c>
      <c r="F4" s="58">
        <v>0.20842620688019303</v>
      </c>
      <c r="G4" s="58">
        <v>8.6989422668735883E-2</v>
      </c>
      <c r="H4" s="58">
        <v>0.12005383328419003</v>
      </c>
      <c r="I4" s="58">
        <v>9.4641819370956878E-2</v>
      </c>
      <c r="J4" s="58">
        <v>0.13383992704490943</v>
      </c>
      <c r="K4" s="58">
        <v>0.16861890091759393</v>
      </c>
      <c r="L4" s="58">
        <v>0.10173033691813967</v>
      </c>
      <c r="M4" s="58">
        <v>0.31685105682943121</v>
      </c>
      <c r="N4" s="59">
        <v>0.15078838176672107</v>
      </c>
      <c r="O4" s="59">
        <v>0.19793998058378268</v>
      </c>
    </row>
    <row r="5" spans="1:15" x14ac:dyDescent="0.35">
      <c r="B5" s="47" t="s">
        <v>54</v>
      </c>
      <c r="C5" s="58">
        <v>4.6797919147759874E-2</v>
      </c>
      <c r="D5" s="58">
        <v>3.4461629201425044E-2</v>
      </c>
      <c r="E5" s="58">
        <v>4.2804544144764679E-2</v>
      </c>
      <c r="F5" s="58">
        <v>4.7768463317683314E-2</v>
      </c>
      <c r="G5" s="58">
        <v>6.9278944119157512E-2</v>
      </c>
      <c r="H5" s="58">
        <v>6.7834603637593513E-2</v>
      </c>
      <c r="I5" s="58">
        <v>7.3515459474244219E-2</v>
      </c>
      <c r="J5" s="58">
        <v>9.4001542734569454E-2</v>
      </c>
      <c r="K5" s="58">
        <v>6.0815475437064823E-2</v>
      </c>
      <c r="L5" s="58">
        <v>8.1895448813417177E-2</v>
      </c>
      <c r="M5" s="58">
        <v>6.1771074983848824E-2</v>
      </c>
      <c r="N5" s="59">
        <v>0.22393346311451967</v>
      </c>
      <c r="O5" s="59">
        <v>6.1996500605368772E-2</v>
      </c>
    </row>
    <row r="6" spans="1:15" x14ac:dyDescent="0.35">
      <c r="B6" s="47" t="s">
        <v>55</v>
      </c>
      <c r="C6" s="58">
        <v>6.4931295606399271E-3</v>
      </c>
      <c r="D6" s="58">
        <v>1.0830084939233693E-2</v>
      </c>
      <c r="E6" s="58">
        <v>7.1795624131935675E-3</v>
      </c>
      <c r="F6" s="58">
        <v>1.0790260223982244E-2</v>
      </c>
      <c r="G6" s="58">
        <v>1.0630521341518154E-2</v>
      </c>
      <c r="H6" s="58">
        <v>6.2027155646507317E-3</v>
      </c>
      <c r="I6" s="58">
        <v>1.1685207646155821E-2</v>
      </c>
      <c r="J6" s="58">
        <v>7.89150633341432E-3</v>
      </c>
      <c r="K6" s="58">
        <v>7.1273300828893814E-3</v>
      </c>
      <c r="L6" s="58">
        <v>6.3678035810369677E-3</v>
      </c>
      <c r="M6" s="58">
        <v>9.5965980486519831E-3</v>
      </c>
      <c r="N6" s="59">
        <v>6.72453507951461E-4</v>
      </c>
      <c r="O6" s="59">
        <v>8.9136448123510702E-3</v>
      </c>
    </row>
    <row r="7" spans="1:15" x14ac:dyDescent="0.35">
      <c r="B7" s="47" t="s">
        <v>56</v>
      </c>
      <c r="C7" s="58">
        <v>7.3608248947077603E-3</v>
      </c>
      <c r="D7" s="58">
        <v>1.7058396363928016E-2</v>
      </c>
      <c r="E7" s="58">
        <v>1.9665736796299224E-2</v>
      </c>
      <c r="F7" s="58">
        <v>3.5568855074197998E-2</v>
      </c>
      <c r="G7" s="58">
        <v>3.7778701208091403E-2</v>
      </c>
      <c r="H7" s="58">
        <v>4.3016824091957395E-2</v>
      </c>
      <c r="I7" s="58">
        <v>3.1470762776479456E-2</v>
      </c>
      <c r="J7" s="58">
        <v>3.3432678193760584E-2</v>
      </c>
      <c r="K7" s="58">
        <v>1.7176861086165143E-2</v>
      </c>
      <c r="L7" s="58">
        <v>3.3369250637713406E-2</v>
      </c>
      <c r="M7" s="58">
        <v>2.2693070356162165E-2</v>
      </c>
      <c r="N7" s="59">
        <v>1.9689733743010283E-2</v>
      </c>
      <c r="O7" s="59">
        <v>2.5889000671470992E-2</v>
      </c>
    </row>
    <row r="8" spans="1:15" x14ac:dyDescent="0.35">
      <c r="B8" s="47" t="s">
        <v>57</v>
      </c>
      <c r="C8" s="58">
        <v>7.990902977384623E-2</v>
      </c>
      <c r="D8" s="58">
        <v>0.13969675480898139</v>
      </c>
      <c r="E8" s="58">
        <v>0.100620593511576</v>
      </c>
      <c r="F8" s="58">
        <v>0.14264030498933492</v>
      </c>
      <c r="G8" s="58">
        <v>0.13219467018493694</v>
      </c>
      <c r="H8" s="58">
        <v>0.14676728584888987</v>
      </c>
      <c r="I8" s="58">
        <v>0.19860986709677694</v>
      </c>
      <c r="J8" s="58">
        <v>0.1643031741207151</v>
      </c>
      <c r="K8" s="58">
        <v>8.8845489844757819E-2</v>
      </c>
      <c r="L8" s="58">
        <v>0.1974500458647318</v>
      </c>
      <c r="M8" s="58">
        <v>0.16300019380826997</v>
      </c>
      <c r="N8" s="59">
        <v>1.4741290106133091E-2</v>
      </c>
      <c r="O8" s="59">
        <v>0.14191081235457031</v>
      </c>
    </row>
    <row r="9" spans="1:15" x14ac:dyDescent="0.35">
      <c r="B9" s="47" t="s">
        <v>5</v>
      </c>
      <c r="C9" s="58">
        <v>0.17003959251791173</v>
      </c>
      <c r="D9" s="58">
        <v>0.24256484621653365</v>
      </c>
      <c r="E9" s="58">
        <v>0.23938935471892481</v>
      </c>
      <c r="F9" s="58">
        <v>0.27673164216651719</v>
      </c>
      <c r="G9" s="58">
        <v>0.29980474722136868</v>
      </c>
      <c r="H9" s="58">
        <v>0.26178043081126423</v>
      </c>
      <c r="I9" s="58">
        <v>0.26561631051583195</v>
      </c>
      <c r="J9" s="58">
        <v>0.24312456012019582</v>
      </c>
      <c r="K9" s="58">
        <v>0.1455846212329516</v>
      </c>
      <c r="L9" s="58">
        <v>0.28240053328295217</v>
      </c>
      <c r="M9" s="58">
        <v>0.19420272181199635</v>
      </c>
      <c r="N9" s="59">
        <v>0.37160879946768427</v>
      </c>
      <c r="O9" s="59">
        <v>0.24082583596932039</v>
      </c>
    </row>
    <row r="10" spans="1:15" x14ac:dyDescent="0.35">
      <c r="B10" s="47" t="s">
        <v>58</v>
      </c>
      <c r="C10" s="58">
        <v>4.4700554331696611E-2</v>
      </c>
      <c r="D10" s="58">
        <v>3.8742318901867544E-2</v>
      </c>
      <c r="E10" s="58">
        <v>1.2273964279238853E-2</v>
      </c>
      <c r="F10" s="58">
        <v>2.127276652299635E-2</v>
      </c>
      <c r="G10" s="58">
        <v>2.4143277965819838E-2</v>
      </c>
      <c r="H10" s="58">
        <v>4.3233385652512696E-2</v>
      </c>
      <c r="I10" s="58">
        <v>1.6476784938392604E-2</v>
      </c>
      <c r="J10" s="58">
        <v>2.6471584994370308E-2</v>
      </c>
      <c r="K10" s="58">
        <v>1.6254330872775242E-2</v>
      </c>
      <c r="L10" s="58">
        <v>8.9013541075933234E-3</v>
      </c>
      <c r="M10" s="58">
        <v>4.7129119196720826E-3</v>
      </c>
      <c r="N10" s="59">
        <v>8.1545590383817288E-3</v>
      </c>
      <c r="O10" s="59">
        <v>2.3282136475333517E-2</v>
      </c>
    </row>
    <row r="11" spans="1:15" x14ac:dyDescent="0.35">
      <c r="B11" s="47" t="s">
        <v>59</v>
      </c>
      <c r="C11" s="58">
        <v>1.2563740433520229E-3</v>
      </c>
      <c r="D11" s="58">
        <v>3.8269607147602526E-4</v>
      </c>
      <c r="E11" s="58">
        <v>1.3456598180839087E-3</v>
      </c>
      <c r="F11" s="58">
        <v>3.4078865818597903E-5</v>
      </c>
      <c r="G11" s="58">
        <v>1.1835191728432907E-3</v>
      </c>
      <c r="H11" s="58">
        <v>3.8364685284483741E-5</v>
      </c>
      <c r="I11" s="58">
        <v>5.8052696596603074E-6</v>
      </c>
      <c r="J11" s="58">
        <v>6.3263663235297785E-5</v>
      </c>
      <c r="K11" s="58">
        <v>0</v>
      </c>
      <c r="L11" s="58">
        <v>2.7632018995720974E-5</v>
      </c>
      <c r="M11" s="58">
        <v>6.9778045366481075E-4</v>
      </c>
      <c r="N11" s="59">
        <v>0</v>
      </c>
      <c r="O11" s="59">
        <v>5.2349946689554531E-4</v>
      </c>
    </row>
    <row r="12" spans="1:15" ht="15" thickBot="1" x14ac:dyDescent="0.4">
      <c r="A12" s="17"/>
      <c r="B12" s="48"/>
      <c r="C12" s="49">
        <v>0.99999999999999989</v>
      </c>
      <c r="D12" s="49">
        <v>0.99999999999999989</v>
      </c>
      <c r="E12" s="49">
        <v>1</v>
      </c>
      <c r="F12" s="49">
        <v>1</v>
      </c>
      <c r="G12" s="49">
        <v>0.99999999999999989</v>
      </c>
      <c r="H12" s="49">
        <v>1</v>
      </c>
      <c r="I12" s="49">
        <v>0.99999999999999989</v>
      </c>
      <c r="J12" s="49">
        <v>0.99999999999999989</v>
      </c>
      <c r="K12" s="49">
        <v>0.99999999999999989</v>
      </c>
      <c r="L12" s="49">
        <v>0.99999999999999989</v>
      </c>
      <c r="M12" s="49">
        <v>1</v>
      </c>
      <c r="N12" s="49">
        <v>0.99999999999999989</v>
      </c>
      <c r="O12" s="49">
        <v>1.0000000000000002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topLeftCell="G1" workbookViewId="0">
      <selection activeCell="N17" sqref="N17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4" width="17.7265625" style="15" bestFit="1" customWidth="1"/>
    <col min="5" max="5" width="16.54296875" style="15" bestFit="1" customWidth="1"/>
    <col min="6" max="9" width="17.7265625" style="15" bestFit="1" customWidth="1"/>
    <col min="10" max="10" width="17.7265625" style="15" customWidth="1"/>
    <col min="11" max="11" width="18.7265625" style="15" bestFit="1" customWidth="1"/>
    <col min="12" max="13" width="18.81640625" style="28" customWidth="1"/>
    <col min="14" max="14" width="20.81640625" style="28" customWidth="1"/>
    <col min="15" max="16384" width="9.1796875" style="28"/>
  </cols>
  <sheetData>
    <row r="1" spans="1:14" x14ac:dyDescent="0.35">
      <c r="A1" s="39" t="str">
        <f>'Fixed rate bond (Values)'!A1</f>
        <v>29 December 2023</v>
      </c>
      <c r="C1" s="32"/>
      <c r="D1" s="32"/>
      <c r="E1" s="32"/>
      <c r="F1" s="32"/>
      <c r="G1" s="32"/>
      <c r="H1" s="32"/>
      <c r="I1" s="32"/>
      <c r="J1" s="32"/>
    </row>
    <row r="2" spans="1:14" x14ac:dyDescent="0.35">
      <c r="A2" s="17"/>
      <c r="B2" s="18" t="s">
        <v>40</v>
      </c>
      <c r="C2" s="40" t="s">
        <v>60</v>
      </c>
      <c r="D2" s="40" t="s">
        <v>61</v>
      </c>
      <c r="E2" s="40" t="s">
        <v>67</v>
      </c>
      <c r="F2" s="40" t="s">
        <v>79</v>
      </c>
      <c r="G2" s="40" t="s">
        <v>62</v>
      </c>
      <c r="H2" s="40" t="s">
        <v>63</v>
      </c>
      <c r="I2" s="40" t="s">
        <v>64</v>
      </c>
      <c r="J2" s="40" t="s">
        <v>81</v>
      </c>
      <c r="K2" s="40" t="s">
        <v>65</v>
      </c>
      <c r="L2" s="22" t="s">
        <v>66</v>
      </c>
      <c r="M2" s="22" t="s">
        <v>82</v>
      </c>
      <c r="N2" s="22" t="s">
        <v>83</v>
      </c>
    </row>
    <row r="3" spans="1:14" x14ac:dyDescent="0.35">
      <c r="B3" s="18" t="s">
        <v>53</v>
      </c>
      <c r="C3" s="51">
        <v>973172362</v>
      </c>
      <c r="D3" s="51">
        <v>78589432</v>
      </c>
      <c r="E3" s="51">
        <v>5287902366</v>
      </c>
      <c r="F3" s="51">
        <v>130800000</v>
      </c>
      <c r="G3" s="51">
        <v>14439499078</v>
      </c>
      <c r="H3" s="51">
        <v>226829735</v>
      </c>
      <c r="I3" s="51">
        <v>3127843812</v>
      </c>
      <c r="J3" s="51">
        <v>0</v>
      </c>
      <c r="K3" s="51">
        <v>4912648101</v>
      </c>
      <c r="L3" s="52">
        <v>1650124499</v>
      </c>
      <c r="M3" s="52">
        <v>0</v>
      </c>
      <c r="N3" s="20">
        <f>SUM(C3:M3)</f>
        <v>30827409385</v>
      </c>
    </row>
    <row r="4" spans="1:14" x14ac:dyDescent="0.35">
      <c r="B4" s="18" t="s">
        <v>72</v>
      </c>
      <c r="C4" s="51">
        <v>11440781559</v>
      </c>
      <c r="D4" s="51">
        <v>2147314580</v>
      </c>
      <c r="E4" s="51">
        <v>3107475322</v>
      </c>
      <c r="F4" s="51">
        <v>401038813</v>
      </c>
      <c r="G4" s="51">
        <v>971172263</v>
      </c>
      <c r="H4" s="51">
        <v>5426427359.9700003</v>
      </c>
      <c r="I4" s="51">
        <v>7569347254</v>
      </c>
      <c r="J4" s="51">
        <v>0</v>
      </c>
      <c r="K4" s="51">
        <v>13438546949.99</v>
      </c>
      <c r="L4" s="52">
        <v>15660110661.519999</v>
      </c>
      <c r="M4" s="52">
        <v>91000000</v>
      </c>
      <c r="N4" s="20">
        <f t="shared" ref="N4:N11" si="0">SUM(C4:M4)</f>
        <v>60253214762.479996</v>
      </c>
    </row>
    <row r="5" spans="1:14" x14ac:dyDescent="0.35">
      <c r="B5" s="18" t="s">
        <v>54</v>
      </c>
      <c r="C5" s="51">
        <v>4904864195.3000002</v>
      </c>
      <c r="D5" s="51">
        <v>2259780469</v>
      </c>
      <c r="E5" s="51">
        <v>2891123727</v>
      </c>
      <c r="F5" s="51">
        <v>84200000</v>
      </c>
      <c r="G5" s="51">
        <v>3079580772</v>
      </c>
      <c r="H5" s="51">
        <v>1671375854</v>
      </c>
      <c r="I5" s="51">
        <v>5820784707</v>
      </c>
      <c r="J5" s="51">
        <v>0</v>
      </c>
      <c r="K5" s="51">
        <v>7651147214</v>
      </c>
      <c r="L5" s="52">
        <v>7274560353</v>
      </c>
      <c r="M5" s="52">
        <v>0</v>
      </c>
      <c r="N5" s="20">
        <f t="shared" si="0"/>
        <v>35637417291.300003</v>
      </c>
    </row>
    <row r="6" spans="1:14" x14ac:dyDescent="0.35">
      <c r="B6" s="18" t="s">
        <v>55</v>
      </c>
      <c r="C6" s="51">
        <v>1968826901.7</v>
      </c>
      <c r="D6" s="51">
        <v>304121799</v>
      </c>
      <c r="E6" s="51">
        <v>1287877301</v>
      </c>
      <c r="F6" s="51">
        <v>8000000</v>
      </c>
      <c r="G6" s="51">
        <v>1253025803</v>
      </c>
      <c r="H6" s="51">
        <v>525603508</v>
      </c>
      <c r="I6" s="51">
        <v>1274676546.8600001</v>
      </c>
      <c r="J6" s="51">
        <v>0</v>
      </c>
      <c r="K6" s="51">
        <v>1238483946</v>
      </c>
      <c r="L6" s="52">
        <v>2210178493.8099999</v>
      </c>
      <c r="M6" s="52">
        <v>0</v>
      </c>
      <c r="N6" s="20">
        <f t="shared" si="0"/>
        <v>10070794299.369999</v>
      </c>
    </row>
    <row r="7" spans="1:14" x14ac:dyDescent="0.35">
      <c r="B7" s="18" t="s">
        <v>56</v>
      </c>
      <c r="C7" s="51">
        <v>4508679500</v>
      </c>
      <c r="D7" s="51">
        <v>2238121483.6999998</v>
      </c>
      <c r="E7" s="51">
        <v>4368674501</v>
      </c>
      <c r="F7" s="51">
        <v>27300000</v>
      </c>
      <c r="G7" s="51">
        <v>7241135612</v>
      </c>
      <c r="H7" s="51">
        <v>2982416790.6399999</v>
      </c>
      <c r="I7" s="51">
        <v>9718655857</v>
      </c>
      <c r="J7" s="51">
        <v>0</v>
      </c>
      <c r="K7" s="51">
        <v>11972423026</v>
      </c>
      <c r="L7" s="52">
        <v>14335811740.299999</v>
      </c>
      <c r="M7" s="52">
        <v>119400000</v>
      </c>
      <c r="N7" s="20">
        <f t="shared" si="0"/>
        <v>57512618510.639999</v>
      </c>
    </row>
    <row r="8" spans="1:14" x14ac:dyDescent="0.35">
      <c r="B8" s="18" t="s">
        <v>57</v>
      </c>
      <c r="C8" s="51">
        <v>24764659765</v>
      </c>
      <c r="D8" s="51">
        <v>19715615590</v>
      </c>
      <c r="E8" s="51">
        <v>19264222477</v>
      </c>
      <c r="F8" s="51">
        <v>430000000</v>
      </c>
      <c r="G8" s="51">
        <v>35240282128</v>
      </c>
      <c r="H8" s="51">
        <v>23454099576</v>
      </c>
      <c r="I8" s="51">
        <v>46482710838</v>
      </c>
      <c r="J8" s="51">
        <v>4286000000</v>
      </c>
      <c r="K8" s="51">
        <v>42219324626</v>
      </c>
      <c r="L8" s="52">
        <v>49720428022</v>
      </c>
      <c r="M8" s="52">
        <v>160000000</v>
      </c>
      <c r="N8" s="20">
        <f t="shared" si="0"/>
        <v>265737343022</v>
      </c>
    </row>
    <row r="9" spans="1:14" x14ac:dyDescent="0.35">
      <c r="B9" s="18" t="s">
        <v>5</v>
      </c>
      <c r="C9" s="51">
        <v>18391218141</v>
      </c>
      <c r="D9" s="51">
        <v>4233966399.0699997</v>
      </c>
      <c r="E9" s="51">
        <v>16685340621</v>
      </c>
      <c r="F9" s="51">
        <v>579609286</v>
      </c>
      <c r="G9" s="51">
        <v>13181691863</v>
      </c>
      <c r="H9" s="51">
        <v>3089237497.3899999</v>
      </c>
      <c r="I9" s="51">
        <v>6279657102.1399994</v>
      </c>
      <c r="J9" s="51">
        <v>49720334</v>
      </c>
      <c r="K9" s="51">
        <v>11163436015.009998</v>
      </c>
      <c r="L9" s="52">
        <v>12210854672.369999</v>
      </c>
      <c r="M9" s="52">
        <v>276526831</v>
      </c>
      <c r="N9" s="20">
        <f t="shared" si="0"/>
        <v>86141258761.979996</v>
      </c>
    </row>
    <row r="10" spans="1:14" x14ac:dyDescent="0.35">
      <c r="B10" s="18" t="s">
        <v>58</v>
      </c>
      <c r="C10" s="51">
        <v>957797576</v>
      </c>
      <c r="D10" s="51">
        <v>670007809.23000002</v>
      </c>
      <c r="E10" s="51">
        <v>259806406</v>
      </c>
      <c r="F10" s="51">
        <v>24051901</v>
      </c>
      <c r="G10" s="51">
        <v>1338273794</v>
      </c>
      <c r="H10" s="51">
        <v>565194678</v>
      </c>
      <c r="I10" s="51">
        <v>1736323883</v>
      </c>
      <c r="J10" s="51">
        <v>0</v>
      </c>
      <c r="K10" s="51">
        <v>2073990122</v>
      </c>
      <c r="L10" s="52">
        <v>2367931558</v>
      </c>
      <c r="M10" s="52">
        <v>0</v>
      </c>
      <c r="N10" s="20">
        <f t="shared" si="0"/>
        <v>9993377727.2299995</v>
      </c>
    </row>
    <row r="11" spans="1:14" x14ac:dyDescent="0.35">
      <c r="B11" s="18" t="s">
        <v>59</v>
      </c>
      <c r="C11" s="52">
        <v>0</v>
      </c>
      <c r="D11" s="52">
        <v>300000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20">
        <f t="shared" si="0"/>
        <v>300000</v>
      </c>
    </row>
    <row r="12" spans="1:14" x14ac:dyDescent="0.35">
      <c r="A12" s="17"/>
      <c r="B12" s="18"/>
      <c r="C12" s="33">
        <f>SUM(C3:C11)</f>
        <v>67910000000</v>
      </c>
      <c r="D12" s="33">
        <f t="shared" ref="D12:N12" si="1">SUM(D3:D11)</f>
        <v>31647817562</v>
      </c>
      <c r="E12" s="33">
        <f t="shared" si="1"/>
        <v>53152422721</v>
      </c>
      <c r="F12" s="33">
        <f t="shared" si="1"/>
        <v>1685000000</v>
      </c>
      <c r="G12" s="33">
        <f t="shared" si="1"/>
        <v>76744661313</v>
      </c>
      <c r="H12" s="33">
        <f t="shared" si="1"/>
        <v>37941184999</v>
      </c>
      <c r="I12" s="33">
        <f t="shared" si="1"/>
        <v>82010000000</v>
      </c>
      <c r="J12" s="33">
        <f t="shared" si="1"/>
        <v>4335720334</v>
      </c>
      <c r="K12" s="33">
        <f t="shared" si="1"/>
        <v>94669999999.999985</v>
      </c>
      <c r="L12" s="33">
        <f t="shared" si="1"/>
        <v>105430000000</v>
      </c>
      <c r="M12" s="33">
        <f t="shared" si="1"/>
        <v>646926831</v>
      </c>
      <c r="N12" s="33">
        <f t="shared" si="1"/>
        <v>556173733760</v>
      </c>
    </row>
    <row r="13" spans="1:14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42"/>
      <c r="M13" s="42"/>
    </row>
    <row r="14" spans="1:14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42"/>
      <c r="M14" s="42"/>
    </row>
    <row r="15" spans="1:14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3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3:13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3:13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3:13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3:13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3:13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3:13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3:13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topLeftCell="B1" workbookViewId="0">
      <selection activeCell="E14" sqref="E14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.26953125" style="15" bestFit="1" customWidth="1"/>
    <col min="4" max="4" width="11" style="15" bestFit="1" customWidth="1"/>
    <col min="5" max="5" width="11" style="15" customWidth="1"/>
    <col min="6" max="6" width="11" style="15" bestFit="1" customWidth="1"/>
    <col min="7" max="9" width="11.26953125" style="15" bestFit="1" customWidth="1"/>
    <col min="10" max="10" width="11.26953125" style="15" customWidth="1"/>
    <col min="11" max="11" width="11.7265625" style="28" customWidth="1"/>
    <col min="12" max="13" width="11.08984375" style="28" bestFit="1" customWidth="1"/>
    <col min="14" max="16384" width="9.1796875" style="28"/>
  </cols>
  <sheetData>
    <row r="1" spans="1:14" x14ac:dyDescent="0.35">
      <c r="A1" s="39" t="str">
        <f>'Fixed rate bond (Values)'!A1</f>
        <v>29 December 2023</v>
      </c>
    </row>
    <row r="2" spans="1:14" x14ac:dyDescent="0.35">
      <c r="A2" s="17"/>
      <c r="B2" s="18"/>
      <c r="C2" s="22" t="s">
        <v>60</v>
      </c>
      <c r="D2" s="22" t="s">
        <v>61</v>
      </c>
      <c r="E2" s="22" t="s">
        <v>67</v>
      </c>
      <c r="F2" s="22" t="s">
        <v>79</v>
      </c>
      <c r="G2" s="22" t="s">
        <v>62</v>
      </c>
      <c r="H2" s="22" t="s">
        <v>63</v>
      </c>
      <c r="I2" s="22" t="s">
        <v>64</v>
      </c>
      <c r="J2" s="22" t="s">
        <v>81</v>
      </c>
      <c r="K2" s="22" t="s">
        <v>65</v>
      </c>
      <c r="L2" s="43" t="s">
        <v>66</v>
      </c>
      <c r="M2" s="43" t="s">
        <v>82</v>
      </c>
      <c r="N2" s="43" t="s">
        <v>71</v>
      </c>
    </row>
    <row r="3" spans="1:14" x14ac:dyDescent="0.35">
      <c r="B3" s="18" t="s">
        <v>53</v>
      </c>
      <c r="C3" s="53">
        <v>1.4330324871152997E-2</v>
      </c>
      <c r="D3" s="53">
        <v>2.4832496536621685E-3</v>
      </c>
      <c r="E3" s="53">
        <v>9.9485631986268835E-2</v>
      </c>
      <c r="F3" s="53">
        <v>7.7626112759643914E-2</v>
      </c>
      <c r="G3" s="53">
        <v>0.18814988340503694</v>
      </c>
      <c r="H3" s="53">
        <v>5.9784567879463558E-3</v>
      </c>
      <c r="I3" s="53">
        <v>3.8139785538348979E-2</v>
      </c>
      <c r="J3" s="53">
        <v>0</v>
      </c>
      <c r="K3" s="53">
        <v>5.1892342885813889E-2</v>
      </c>
      <c r="L3" s="53">
        <v>1.5651375310632647E-2</v>
      </c>
      <c r="M3" s="53">
        <v>0</v>
      </c>
      <c r="N3" s="53">
        <v>5.5427661383057401E-2</v>
      </c>
    </row>
    <row r="4" spans="1:14" x14ac:dyDescent="0.35">
      <c r="B4" s="18" t="s">
        <v>72</v>
      </c>
      <c r="C4" s="53">
        <v>0.16846976231777352</v>
      </c>
      <c r="D4" s="53">
        <v>6.7850320983217249E-2</v>
      </c>
      <c r="E4" s="53">
        <v>5.8463474718947611E-2</v>
      </c>
      <c r="F4" s="53">
        <v>0.2380052302670623</v>
      </c>
      <c r="G4" s="53">
        <v>1.2654590513327216E-2</v>
      </c>
      <c r="H4" s="53">
        <v>0.14302208431584365</v>
      </c>
      <c r="I4" s="53">
        <v>9.2297857017436896E-2</v>
      </c>
      <c r="J4" s="53">
        <v>0</v>
      </c>
      <c r="K4" s="53">
        <v>0.14195148357441642</v>
      </c>
      <c r="L4" s="53">
        <v>0.14853562232305795</v>
      </c>
      <c r="M4" s="53">
        <v>0.14066505768408916</v>
      </c>
      <c r="N4" s="53">
        <v>0.10833523970134205</v>
      </c>
    </row>
    <row r="5" spans="1:14" x14ac:dyDescent="0.35">
      <c r="B5" s="18" t="s">
        <v>54</v>
      </c>
      <c r="C5" s="53">
        <v>7.2225948981004276E-2</v>
      </c>
      <c r="D5" s="53">
        <v>7.1403990640838105E-2</v>
      </c>
      <c r="E5" s="53">
        <v>5.4393075216451904E-2</v>
      </c>
      <c r="F5" s="53">
        <v>4.9970326409495551E-2</v>
      </c>
      <c r="G5" s="53">
        <v>4.0127622160453014E-2</v>
      </c>
      <c r="H5" s="53">
        <v>4.405175679262658E-2</v>
      </c>
      <c r="I5" s="53">
        <v>7.0976523680039025E-2</v>
      </c>
      <c r="J5" s="53">
        <v>0</v>
      </c>
      <c r="K5" s="53">
        <v>8.0819131868596183E-2</v>
      </c>
      <c r="L5" s="53">
        <v>6.8998960001896995E-2</v>
      </c>
      <c r="M5" s="53">
        <v>0</v>
      </c>
      <c r="N5" s="53">
        <v>6.4076052370136305E-2</v>
      </c>
    </row>
    <row r="6" spans="1:14" x14ac:dyDescent="0.35">
      <c r="B6" s="18" t="s">
        <v>55</v>
      </c>
      <c r="C6" s="53">
        <v>2.8991708168163748E-2</v>
      </c>
      <c r="D6" s="53">
        <v>9.6095662332546915E-3</v>
      </c>
      <c r="E6" s="53">
        <v>2.4229888969692671E-2</v>
      </c>
      <c r="F6" s="53">
        <v>4.747774480712166E-3</v>
      </c>
      <c r="G6" s="53">
        <v>1.6327204805681336E-2</v>
      </c>
      <c r="H6" s="53">
        <v>1.385311260082818E-2</v>
      </c>
      <c r="I6" s="53">
        <v>1.5542940456773565E-2</v>
      </c>
      <c r="J6" s="53">
        <v>0</v>
      </c>
      <c r="K6" s="53">
        <v>1.3082116256469845E-2</v>
      </c>
      <c r="L6" s="53">
        <v>2.0963468593474342E-2</v>
      </c>
      <c r="M6" s="53">
        <v>0</v>
      </c>
      <c r="N6" s="53">
        <v>1.8107281390810425E-2</v>
      </c>
    </row>
    <row r="7" spans="1:14" x14ac:dyDescent="0.35">
      <c r="B7" s="18" t="s">
        <v>56</v>
      </c>
      <c r="C7" s="53">
        <v>6.6391982035046385E-2</v>
      </c>
      <c r="D7" s="53">
        <v>7.0719615319931109E-2</v>
      </c>
      <c r="E7" s="53">
        <v>8.219144636043052E-2</v>
      </c>
      <c r="F7" s="53">
        <v>1.6201780415430266E-2</v>
      </c>
      <c r="G7" s="53">
        <v>9.4353606988599778E-2</v>
      </c>
      <c r="H7" s="53">
        <v>7.8606316347752614E-2</v>
      </c>
      <c r="I7" s="53">
        <v>0.11850574145835874</v>
      </c>
      <c r="J7" s="53">
        <v>0</v>
      </c>
      <c r="K7" s="53">
        <v>0.12646480433083343</v>
      </c>
      <c r="L7" s="53">
        <v>0.13597469164659015</v>
      </c>
      <c r="M7" s="53">
        <v>0.18456492184044226</v>
      </c>
      <c r="N7" s="53">
        <v>0.10340764948000553</v>
      </c>
    </row>
    <row r="8" spans="1:14" x14ac:dyDescent="0.35">
      <c r="B8" s="18" t="s">
        <v>57</v>
      </c>
      <c r="C8" s="53">
        <v>0.36466882292740394</v>
      </c>
      <c r="D8" s="53">
        <v>0.62296920005229139</v>
      </c>
      <c r="E8" s="53">
        <v>0.36243357293643919</v>
      </c>
      <c r="F8" s="53">
        <v>0.25519287833827892</v>
      </c>
      <c r="G8" s="53">
        <v>0.45918871130688732</v>
      </c>
      <c r="H8" s="53">
        <v>0.61816992739204557</v>
      </c>
      <c r="I8" s="53">
        <v>0.5667932061699793</v>
      </c>
      <c r="J8" s="53">
        <v>0.9885323936578424</v>
      </c>
      <c r="K8" s="53">
        <v>0.44596307833526994</v>
      </c>
      <c r="L8" s="53">
        <v>0.47159658562079104</v>
      </c>
      <c r="M8" s="53">
        <v>0.24732317834565126</v>
      </c>
      <c r="N8" s="53">
        <v>0.47779556439224247</v>
      </c>
    </row>
    <row r="9" spans="1:14" x14ac:dyDescent="0.35">
      <c r="B9" s="18" t="s">
        <v>5</v>
      </c>
      <c r="C9" s="53">
        <v>0.27081752526873804</v>
      </c>
      <c r="D9" s="53">
        <v>0.13378383488135959</v>
      </c>
      <c r="E9" s="53">
        <v>0.31391495940988945</v>
      </c>
      <c r="F9" s="53">
        <v>0.3439817721068249</v>
      </c>
      <c r="G9" s="53">
        <v>0.17176037573791619</v>
      </c>
      <c r="H9" s="53">
        <v>8.142174519513351E-2</v>
      </c>
      <c r="I9" s="53">
        <v>7.6571846142421643E-2</v>
      </c>
      <c r="J9" s="53">
        <v>1.1467606342157585E-2</v>
      </c>
      <c r="K9" s="53">
        <v>0.11791946778293018</v>
      </c>
      <c r="L9" s="53">
        <v>0.11581954540804325</v>
      </c>
      <c r="M9" s="53">
        <v>0.42744684212981732</v>
      </c>
      <c r="N9" s="53">
        <v>0.15488192543654292</v>
      </c>
    </row>
    <row r="10" spans="1:14" x14ac:dyDescent="0.35">
      <c r="B10" s="18" t="s">
        <v>58</v>
      </c>
      <c r="C10" s="53">
        <v>1.4103925430717125E-2</v>
      </c>
      <c r="D10" s="53">
        <v>2.1170742908809239E-2</v>
      </c>
      <c r="E10" s="53">
        <v>4.8879504018798569E-3</v>
      </c>
      <c r="F10" s="53">
        <v>1.4274125222551929E-2</v>
      </c>
      <c r="G10" s="53">
        <v>1.7438005082098213E-2</v>
      </c>
      <c r="H10" s="53">
        <v>1.4896600567823503E-2</v>
      </c>
      <c r="I10" s="53">
        <v>2.1172099536641873E-2</v>
      </c>
      <c r="J10" s="53">
        <v>0</v>
      </c>
      <c r="K10" s="53">
        <v>2.1907574965670227E-2</v>
      </c>
      <c r="L10" s="53">
        <v>2.2459751095513611E-2</v>
      </c>
      <c r="M10" s="53">
        <v>0</v>
      </c>
      <c r="N10" s="53">
        <v>1.7968086446064246E-2</v>
      </c>
    </row>
    <row r="11" spans="1:14" x14ac:dyDescent="0.35">
      <c r="B11" s="18" t="s">
        <v>59</v>
      </c>
      <c r="C11" s="53">
        <v>0</v>
      </c>
      <c r="D11" s="53">
        <v>9.4793266364191387E-6</v>
      </c>
      <c r="E11" s="53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5.3939979864179621E-7</v>
      </c>
    </row>
    <row r="12" spans="1:14" x14ac:dyDescent="0.35">
      <c r="B12" s="23"/>
      <c r="C12" s="21">
        <v>1</v>
      </c>
      <c r="D12" s="21">
        <v>1</v>
      </c>
      <c r="E12" s="21">
        <v>1</v>
      </c>
      <c r="F12" s="21">
        <v>0.99999999999999989</v>
      </c>
      <c r="G12" s="21">
        <v>1</v>
      </c>
      <c r="H12" s="21">
        <v>1</v>
      </c>
      <c r="I12" s="21">
        <v>1</v>
      </c>
      <c r="J12" s="21">
        <v>1</v>
      </c>
      <c r="K12" s="21">
        <v>1</v>
      </c>
      <c r="L12" s="21">
        <v>1</v>
      </c>
      <c r="M12" s="21">
        <v>1</v>
      </c>
      <c r="N12" s="21">
        <v>0.99999999999999989</v>
      </c>
    </row>
    <row r="13" spans="1:14" x14ac:dyDescent="0.35">
      <c r="C13" s="30"/>
      <c r="D13" s="30"/>
      <c r="E13" s="30"/>
      <c r="F13" s="30"/>
      <c r="G13" s="30"/>
      <c r="H13" s="30"/>
      <c r="I13" s="30"/>
      <c r="J13" s="30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F11" sqref="F1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29 December 2023</v>
      </c>
    </row>
    <row r="2" spans="1:13" x14ac:dyDescent="0.35">
      <c r="A2" s="17"/>
      <c r="B2" s="18" t="s">
        <v>40</v>
      </c>
      <c r="C2" s="18" t="s">
        <v>76</v>
      </c>
      <c r="D2" s="57" t="s">
        <v>80</v>
      </c>
      <c r="E2" s="57" t="s">
        <v>52</v>
      </c>
      <c r="K2" s="15"/>
      <c r="L2" s="15"/>
    </row>
    <row r="3" spans="1:13" x14ac:dyDescent="0.35">
      <c r="B3" s="18" t="s">
        <v>53</v>
      </c>
      <c r="C3" s="51">
        <v>444814011</v>
      </c>
      <c r="D3" s="50">
        <v>92800000</v>
      </c>
      <c r="E3" s="60">
        <f>SUM(C3:D3)</f>
        <v>537614011</v>
      </c>
      <c r="K3" s="15"/>
      <c r="L3" s="15"/>
      <c r="M3" s="54"/>
    </row>
    <row r="4" spans="1:13" x14ac:dyDescent="0.35">
      <c r="B4" s="18" t="s">
        <v>72</v>
      </c>
      <c r="C4" s="51">
        <v>54794000000</v>
      </c>
      <c r="D4" s="50">
        <v>18554430000</v>
      </c>
      <c r="E4" s="60">
        <f t="shared" ref="E4:E11" si="0">SUM(C4:D4)</f>
        <v>73348430000</v>
      </c>
      <c r="K4" s="15"/>
      <c r="L4" s="15"/>
      <c r="M4" s="54"/>
    </row>
    <row r="5" spans="1:13" x14ac:dyDescent="0.35">
      <c r="B5" s="18" t="s">
        <v>54</v>
      </c>
      <c r="C5" s="51">
        <v>945550000</v>
      </c>
      <c r="D5" s="50">
        <v>1214100000</v>
      </c>
      <c r="E5" s="60">
        <f t="shared" si="0"/>
        <v>2159650000</v>
      </c>
      <c r="K5" s="15"/>
      <c r="L5" s="15"/>
      <c r="M5" s="54"/>
    </row>
    <row r="6" spans="1:13" x14ac:dyDescent="0.35">
      <c r="B6" s="18" t="s">
        <v>55</v>
      </c>
      <c r="C6" s="51">
        <v>1277700000</v>
      </c>
      <c r="D6" s="50">
        <v>69980000</v>
      </c>
      <c r="E6" s="60">
        <f t="shared" si="0"/>
        <v>1347680000</v>
      </c>
      <c r="K6" s="15"/>
      <c r="L6" s="15"/>
      <c r="M6" s="54"/>
    </row>
    <row r="7" spans="1:13" x14ac:dyDescent="0.35">
      <c r="B7" s="18" t="s">
        <v>56</v>
      </c>
      <c r="C7" s="51">
        <v>57020000</v>
      </c>
      <c r="D7" s="50">
        <v>63114909</v>
      </c>
      <c r="E7" s="60">
        <f t="shared" si="0"/>
        <v>120134909</v>
      </c>
      <c r="K7" s="15"/>
      <c r="L7" s="15"/>
      <c r="M7" s="54"/>
    </row>
    <row r="8" spans="1:13" x14ac:dyDescent="0.35">
      <c r="B8" s="18" t="s">
        <v>57</v>
      </c>
      <c r="C8" s="51">
        <v>1630000</v>
      </c>
      <c r="D8" s="50">
        <v>32645694</v>
      </c>
      <c r="E8" s="60">
        <f t="shared" si="0"/>
        <v>34275694</v>
      </c>
      <c r="K8" s="15"/>
      <c r="L8" s="15"/>
      <c r="M8" s="54"/>
    </row>
    <row r="9" spans="1:13" x14ac:dyDescent="0.35">
      <c r="B9" s="18" t="s">
        <v>5</v>
      </c>
      <c r="C9" s="51">
        <v>10296387386</v>
      </c>
      <c r="D9" s="50">
        <v>9859346995</v>
      </c>
      <c r="E9" s="60">
        <f t="shared" si="0"/>
        <v>20155734381</v>
      </c>
      <c r="K9" s="15"/>
      <c r="L9" s="15"/>
      <c r="M9" s="54"/>
    </row>
    <row r="10" spans="1:13" x14ac:dyDescent="0.35">
      <c r="B10" s="18" t="s">
        <v>58</v>
      </c>
      <c r="C10" s="51">
        <v>177898603</v>
      </c>
      <c r="D10" s="50">
        <v>68582402</v>
      </c>
      <c r="E10" s="60">
        <f t="shared" si="0"/>
        <v>246481005</v>
      </c>
      <c r="K10" s="15"/>
      <c r="L10" s="15"/>
      <c r="M10" s="54"/>
    </row>
    <row r="11" spans="1:13" x14ac:dyDescent="0.35">
      <c r="B11" s="19" t="s">
        <v>59</v>
      </c>
      <c r="C11" s="52">
        <v>0</v>
      </c>
      <c r="D11" s="50">
        <v>0</v>
      </c>
      <c r="E11" s="60">
        <f t="shared" si="0"/>
        <v>0</v>
      </c>
      <c r="K11" s="15"/>
      <c r="L11" s="15"/>
      <c r="M11" s="54"/>
    </row>
    <row r="12" spans="1:13" x14ac:dyDescent="0.35">
      <c r="B12" s="19"/>
      <c r="C12" s="20">
        <f>SUM(C3:C11)</f>
        <v>67995000000</v>
      </c>
      <c r="D12" s="20">
        <f t="shared" ref="D12:E12" si="1">SUM(D3:D11)</f>
        <v>29955000000</v>
      </c>
      <c r="E12" s="20">
        <f t="shared" si="1"/>
        <v>97950000000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tabSelected="1" workbookViewId="0">
      <selection activeCell="H11" sqref="H11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29 December 2023</v>
      </c>
    </row>
    <row r="3" spans="1:5" ht="13" x14ac:dyDescent="0.3">
      <c r="B3" s="18" t="s">
        <v>40</v>
      </c>
      <c r="C3" s="22" t="s">
        <v>76</v>
      </c>
      <c r="D3" s="43" t="s">
        <v>80</v>
      </c>
      <c r="E3" s="43" t="s">
        <v>71</v>
      </c>
    </row>
    <row r="4" spans="1:5" ht="13" x14ac:dyDescent="0.3">
      <c r="B4" s="18" t="s">
        <v>53</v>
      </c>
      <c r="C4" s="53">
        <v>6.5418635340833888E-3</v>
      </c>
      <c r="D4" s="53">
        <v>3.0979803037890167E-3</v>
      </c>
      <c r="E4" s="53">
        <v>5.4886575906074528E-3</v>
      </c>
    </row>
    <row r="5" spans="1:5" ht="13" x14ac:dyDescent="0.3">
      <c r="B5" s="18" t="s">
        <v>72</v>
      </c>
      <c r="C5" s="53">
        <v>0.8058533715714391</v>
      </c>
      <c r="D5" s="53">
        <v>0.61941011517275912</v>
      </c>
      <c r="E5" s="53">
        <v>0.74883542623787647</v>
      </c>
    </row>
    <row r="6" spans="1:5" ht="13" x14ac:dyDescent="0.3">
      <c r="B6" s="18" t="s">
        <v>54</v>
      </c>
      <c r="C6" s="53">
        <v>1.3906169571292006E-2</v>
      </c>
      <c r="D6" s="53">
        <v>4.0530796194291438E-2</v>
      </c>
      <c r="E6" s="53">
        <v>2.2048494129657988E-2</v>
      </c>
    </row>
    <row r="7" spans="1:5" ht="13" x14ac:dyDescent="0.3">
      <c r="B7" s="18" t="s">
        <v>55</v>
      </c>
      <c r="C7" s="53">
        <v>1.8791087579969116E-2</v>
      </c>
      <c r="D7" s="53">
        <v>2.3361709230512433E-3</v>
      </c>
      <c r="E7" s="53">
        <v>1.3758856559469117E-2</v>
      </c>
    </row>
    <row r="8" spans="1:5" ht="13" x14ac:dyDescent="0.3">
      <c r="B8" s="18" t="s">
        <v>56</v>
      </c>
      <c r="C8" s="53">
        <v>8.3859107287300534E-4</v>
      </c>
      <c r="D8" s="53">
        <v>2.1069907861792688E-3</v>
      </c>
      <c r="E8" s="53">
        <v>1.226492179683512E-3</v>
      </c>
    </row>
    <row r="9" spans="1:5" ht="13" x14ac:dyDescent="0.3">
      <c r="B9" s="18" t="s">
        <v>57</v>
      </c>
      <c r="C9" s="53">
        <v>2.3972350908155012E-5</v>
      </c>
      <c r="D9" s="53">
        <v>1.0898245368052078E-3</v>
      </c>
      <c r="E9" s="53">
        <v>3.4993051556916796E-4</v>
      </c>
    </row>
    <row r="10" spans="1:5" ht="13" x14ac:dyDescent="0.3">
      <c r="B10" s="18" t="s">
        <v>5</v>
      </c>
      <c r="C10" s="53">
        <v>0.15142859601441283</v>
      </c>
      <c r="D10" s="53">
        <v>0.32913860774495074</v>
      </c>
      <c r="E10" s="53">
        <v>0.2057757466156202</v>
      </c>
    </row>
    <row r="11" spans="1:5" ht="13" x14ac:dyDescent="0.3">
      <c r="B11" s="18" t="s">
        <v>58</v>
      </c>
      <c r="C11" s="53">
        <v>2.616348305022428E-3</v>
      </c>
      <c r="D11" s="53">
        <v>2.2895143381739275E-3</v>
      </c>
      <c r="E11" s="53">
        <v>2.5163961715160797E-3</v>
      </c>
    </row>
    <row r="12" spans="1:5" ht="13" x14ac:dyDescent="0.3">
      <c r="B12" s="18" t="s">
        <v>59</v>
      </c>
      <c r="C12" s="53">
        <v>0</v>
      </c>
      <c r="D12" s="53">
        <v>0</v>
      </c>
      <c r="E12" s="53">
        <v>0</v>
      </c>
    </row>
    <row r="13" spans="1:5" ht="13" x14ac:dyDescent="0.3">
      <c r="B13" s="23"/>
      <c r="C13" s="21">
        <v>1</v>
      </c>
      <c r="D13" s="21">
        <v>1</v>
      </c>
      <c r="E13" s="21">
        <v>1</v>
      </c>
    </row>
    <row r="22" ht="1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Zine Mbatha</cp:lastModifiedBy>
  <dcterms:created xsi:type="dcterms:W3CDTF">2016-03-09T09:54:02Z</dcterms:created>
  <dcterms:modified xsi:type="dcterms:W3CDTF">2024-01-04T11:38:23Z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