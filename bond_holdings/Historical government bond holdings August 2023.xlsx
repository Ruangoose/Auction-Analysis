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8_{DCED1D20-EB6F-4480-A895-D411D064DE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7" l="1"/>
  <c r="E13" i="7"/>
  <c r="C13" i="7"/>
  <c r="E4" i="6"/>
  <c r="E5" i="6"/>
  <c r="E6" i="6"/>
  <c r="E7" i="6"/>
  <c r="E8" i="6"/>
  <c r="E9" i="6"/>
  <c r="E10" i="6"/>
  <c r="E11" i="6"/>
  <c r="E3" i="6"/>
  <c r="D12" i="6"/>
  <c r="C12" i="6"/>
  <c r="E12" i="5"/>
  <c r="F12" i="5"/>
  <c r="G12" i="5"/>
  <c r="H12" i="5"/>
  <c r="I12" i="5"/>
  <c r="J12" i="5"/>
  <c r="K12" i="5"/>
  <c r="L12" i="5"/>
  <c r="M12" i="5"/>
  <c r="N12" i="5"/>
  <c r="D12" i="5"/>
  <c r="N4" i="4"/>
  <c r="N5" i="4"/>
  <c r="N6" i="4"/>
  <c r="N7" i="4"/>
  <c r="N8" i="4"/>
  <c r="N9" i="4"/>
  <c r="N10" i="4"/>
  <c r="N11" i="4"/>
  <c r="N3" i="4"/>
  <c r="E12" i="4"/>
  <c r="F12" i="4"/>
  <c r="G12" i="4"/>
  <c r="H12" i="4"/>
  <c r="I12" i="4"/>
  <c r="J12" i="4"/>
  <c r="K12" i="4"/>
  <c r="L12" i="4"/>
  <c r="M12" i="4"/>
  <c r="D12" i="4"/>
  <c r="E12" i="3"/>
  <c r="F12" i="3"/>
  <c r="G12" i="3"/>
  <c r="H12" i="3"/>
  <c r="I12" i="3"/>
  <c r="J12" i="3"/>
  <c r="K12" i="3"/>
  <c r="L12" i="3"/>
  <c r="M12" i="3"/>
  <c r="N12" i="3"/>
  <c r="O12" i="3"/>
  <c r="P12" i="3"/>
  <c r="D12" i="3"/>
  <c r="P4" i="2"/>
  <c r="P5" i="2"/>
  <c r="P6" i="2"/>
  <c r="P7" i="2"/>
  <c r="P8" i="2"/>
  <c r="P9" i="2"/>
  <c r="P10" i="2"/>
  <c r="P11" i="2"/>
  <c r="P3" i="2"/>
  <c r="P12" i="2" s="1"/>
  <c r="E12" i="2"/>
  <c r="F12" i="2"/>
  <c r="G12" i="2"/>
  <c r="H12" i="2"/>
  <c r="I12" i="2"/>
  <c r="J12" i="2"/>
  <c r="K12" i="2"/>
  <c r="L12" i="2"/>
  <c r="M12" i="2"/>
  <c r="N12" i="2"/>
  <c r="O12" i="2"/>
  <c r="D12" i="2"/>
  <c r="E12" i="6" l="1"/>
  <c r="N12" i="4"/>
  <c r="A1" i="4" l="1"/>
  <c r="A1" i="5"/>
  <c r="A1" i="6"/>
  <c r="A1" i="7"/>
  <c r="A1" i="3"/>
</calcChain>
</file>

<file path=xl/sharedStrings.xml><?xml version="1.0" encoding="utf-8"?>
<sst xmlns="http://schemas.openxmlformats.org/spreadsheetml/2006/main" count="288" uniqueCount="83">
  <si>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</si>
  <si>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</si>
  <si>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</si>
  <si>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</si>
  <si>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</si>
  <si>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</si>
  <si>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</si>
  <si>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</si>
  <si>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</si>
  <si>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</si>
  <si>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</si>
  <si>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</si>
  <si>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</si>
  <si>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</si>
  <si>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</si>
  <si>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</si>
  <si>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</si>
  <si>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</si>
  <si>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</si>
  <si>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</si>
  <si>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</si>
  <si>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</si>
  <si>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</si>
  <si>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</si>
  <si>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</si>
  <si>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</si>
  <si>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</si>
  <si>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</si>
  <si>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</si>
  <si>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</si>
  <si>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</si>
  <si>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</si>
  <si>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</si>
  <si>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</si>
  <si>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</si>
  <si>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</si>
  <si>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</si>
  <si>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</si>
  <si>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</si>
  <si>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</si>
  <si>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</si>
  <si>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</si>
  <si>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</si>
  <si>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</si>
  <si>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</si>
  <si>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</si>
  <si>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</si>
  <si>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</si>
  <si>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</si>
  <si>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</si>
  <si>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</si>
  <si>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</si>
  <si>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</si>
  <si>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</si>
  <si>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</si>
  <si>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</si>
  <si>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</si>
  <si>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</si>
  <si>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</si>
  <si>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</si>
  <si>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R197 (2023)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</si>
  <si>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</si>
  <si>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</si>
  <si>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</si>
  <si>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</si>
  <si>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</si>
  <si>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</si>
  <si>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</si>
  <si>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</si>
  <si>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</si>
  <si>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</si>
  <si>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</si>
  <si>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</si>
  <si>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</si>
  <si>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</si>
  <si>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</si>
  <si>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</si>
  <si>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</si>
  <si>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</si>
  <si>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</si>
  <si>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</si>
  <si>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</si>
  <si>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25 August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</si>
</sst>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1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17" fontId="2" fillId="0" borderId="0" xfId="55" quotePrefix="1" applyNumberFormat="1"/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"/>
  <sheetViews>
    <sheetView tabSelected="1" workbookViewId="0">
      <pane ySplit="1" topLeftCell="A142" activePane="bottomLeft" state="frozen"/>
      <selection pane="bottomLeft" activeCell="I157" sqref="I157"/>
    </sheetView>
  </sheetViews>
  <sheetFormatPr defaultRowHeight="14.5" x14ac:dyDescent="0.35"/>
  <cols>
    <col min="1" max="1" width="10.1796875" style="66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0" t="s">
        <v>0</v>
      </c>
      <c r="B1" s="70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4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4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4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4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4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5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5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5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5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7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8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3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3" t="s">
        <v>69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6"/>
      <c r="K79" s="38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6"/>
      <c r="K80" s="38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6"/>
      <c r="K81" s="38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6"/>
      <c r="K82" s="38"/>
    </row>
    <row r="83" spans="1:11" x14ac:dyDescent="0.35">
      <c r="A83" s="69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6"/>
      <c r="K83" s="38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7"/>
      <c r="K84" s="38"/>
    </row>
    <row r="85" spans="1:11" x14ac:dyDescent="0.35">
      <c r="A85" s="69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9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2" t="s">
        <v>70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9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2" t="s">
        <v>71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2" t="s">
        <v>74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2" t="s">
        <v>75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2" t="s">
        <v>76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7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0.20365189043416121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2" t="s">
        <v>78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topLeftCell="J1" workbookViewId="0">
      <selection activeCell="P3" sqref="P3:P11"/>
    </sheetView>
  </sheetViews>
  <sheetFormatPr defaultRowHeight="14.5" x14ac:dyDescent="0.35"/>
  <cols>
    <col min="1" max="1" width="19.7265625" style="15" bestFit="1" customWidth="1"/>
    <col min="2" max="2" width="9.1796875" style="15" customWidth="1"/>
    <col min="3" max="3" width="29.7265625" style="16" bestFit="1" customWidth="1"/>
    <col min="4" max="4" width="17.81640625" style="15" bestFit="1" customWidth="1"/>
    <col min="5" max="8" width="18.7265625" style="15" bestFit="1" customWidth="1"/>
    <col min="9" max="9" width="17.81640625" style="15" bestFit="1" customWidth="1"/>
    <col min="10" max="11" width="18.7265625" style="15" bestFit="1" customWidth="1"/>
    <col min="12" max="13" width="17.81640625" style="15" bestFit="1" customWidth="1"/>
    <col min="14" max="14" width="20.453125" style="15" bestFit="1" customWidth="1"/>
    <col min="15" max="15" width="22.54296875" customWidth="1"/>
    <col min="16" max="16" width="20.26953125" bestFit="1" customWidth="1"/>
    <col min="17" max="17" width="20.54296875" bestFit="1" customWidth="1"/>
  </cols>
  <sheetData>
    <row r="1" spans="1:17" x14ac:dyDescent="0.35">
      <c r="A1" s="40" t="s">
        <v>82</v>
      </c>
    </row>
    <row r="2" spans="1:17" x14ac:dyDescent="0.35">
      <c r="A2" s="17"/>
      <c r="B2" s="17"/>
      <c r="C2" s="18" t="s">
        <v>40</v>
      </c>
      <c r="D2" s="42" t="s">
        <v>41</v>
      </c>
      <c r="E2" s="42" t="s">
        <v>42</v>
      </c>
      <c r="F2" s="42" t="s">
        <v>43</v>
      </c>
      <c r="G2" s="42" t="s">
        <v>44</v>
      </c>
      <c r="H2" s="42" t="s">
        <v>45</v>
      </c>
      <c r="I2" s="42" t="s">
        <v>46</v>
      </c>
      <c r="J2" s="42" t="s">
        <v>47</v>
      </c>
      <c r="K2" s="42" t="s">
        <v>48</v>
      </c>
      <c r="L2" s="42" t="s">
        <v>49</v>
      </c>
      <c r="M2" s="32" t="s">
        <v>50</v>
      </c>
      <c r="N2" s="32" t="s">
        <v>51</v>
      </c>
      <c r="O2" s="32" t="s">
        <v>79</v>
      </c>
      <c r="P2" s="58" t="s">
        <v>52</v>
      </c>
    </row>
    <row r="3" spans="1:17" x14ac:dyDescent="0.35">
      <c r="C3" s="18" t="s">
        <v>53</v>
      </c>
      <c r="D3" s="52">
        <v>133247469552.89</v>
      </c>
      <c r="E3" s="52">
        <v>109157305393</v>
      </c>
      <c r="F3" s="52">
        <v>58855621246</v>
      </c>
      <c r="G3" s="52">
        <v>87531354543</v>
      </c>
      <c r="H3" s="52">
        <v>97403800451</v>
      </c>
      <c r="I3" s="52">
        <v>30085866296</v>
      </c>
      <c r="J3" s="52">
        <v>86177411244</v>
      </c>
      <c r="K3" s="52">
        <v>57334411072</v>
      </c>
      <c r="L3" s="52">
        <v>44159367467</v>
      </c>
      <c r="M3" s="52">
        <v>56111264573</v>
      </c>
      <c r="N3" s="52">
        <v>89534403580</v>
      </c>
      <c r="O3" s="51">
        <v>4052100864</v>
      </c>
      <c r="P3" s="61">
        <f>SUM(D3:O3)</f>
        <v>853650376281.89001</v>
      </c>
      <c r="Q3" s="56"/>
    </row>
    <row r="4" spans="1:17" x14ac:dyDescent="0.35">
      <c r="C4" s="18" t="s">
        <v>73</v>
      </c>
      <c r="D4" s="52">
        <v>112891280614.09999</v>
      </c>
      <c r="E4" s="52">
        <v>83586096646.529999</v>
      </c>
      <c r="F4" s="52">
        <v>52418821194</v>
      </c>
      <c r="G4" s="52">
        <v>65184635168.199997</v>
      </c>
      <c r="H4" s="52">
        <v>40561776577.800003</v>
      </c>
      <c r="I4" s="52">
        <v>11115607241</v>
      </c>
      <c r="J4" s="52">
        <v>26900892914.689999</v>
      </c>
      <c r="K4" s="52">
        <v>29152124430</v>
      </c>
      <c r="L4" s="52">
        <v>12182070959</v>
      </c>
      <c r="M4" s="52">
        <v>26465148767.099998</v>
      </c>
      <c r="N4" s="52">
        <v>113470380486.58</v>
      </c>
      <c r="O4" s="51">
        <v>1344065026</v>
      </c>
      <c r="P4" s="61">
        <f t="shared" ref="P4:P11" si="0">SUM(D4:O4)</f>
        <v>575272900025</v>
      </c>
    </row>
    <row r="5" spans="1:17" x14ac:dyDescent="0.35">
      <c r="C5" s="18" t="s">
        <v>54</v>
      </c>
      <c r="D5" s="52">
        <v>19404340421.900002</v>
      </c>
      <c r="E5" s="52">
        <v>10572860616</v>
      </c>
      <c r="F5" s="52">
        <v>6478646409</v>
      </c>
      <c r="G5" s="52">
        <v>11233447045</v>
      </c>
      <c r="H5" s="52">
        <v>17126987591</v>
      </c>
      <c r="I5" s="52">
        <v>4861077635</v>
      </c>
      <c r="J5" s="52">
        <v>20066495703</v>
      </c>
      <c r="K5" s="52">
        <v>20682913632</v>
      </c>
      <c r="L5" s="52">
        <v>9994381261</v>
      </c>
      <c r="M5" s="52">
        <v>19825906265</v>
      </c>
      <c r="N5" s="52">
        <v>15954555055</v>
      </c>
      <c r="O5" s="51">
        <v>5661100676</v>
      </c>
      <c r="P5" s="61">
        <f t="shared" si="0"/>
        <v>161862712309.89999</v>
      </c>
    </row>
    <row r="6" spans="1:17" x14ac:dyDescent="0.35">
      <c r="C6" s="18" t="s">
        <v>55</v>
      </c>
      <c r="D6" s="52">
        <v>2504111574</v>
      </c>
      <c r="E6" s="52">
        <v>3548767677</v>
      </c>
      <c r="F6" s="52">
        <v>1042977834</v>
      </c>
      <c r="G6" s="52">
        <v>3167310450</v>
      </c>
      <c r="H6" s="52">
        <v>3081397972</v>
      </c>
      <c r="I6" s="52">
        <v>402857955</v>
      </c>
      <c r="J6" s="52">
        <v>3079222513</v>
      </c>
      <c r="K6" s="52">
        <v>2014350673</v>
      </c>
      <c r="L6" s="52">
        <v>691821846</v>
      </c>
      <c r="M6" s="52">
        <v>1617261369</v>
      </c>
      <c r="N6" s="52">
        <v>3546781672</v>
      </c>
      <c r="O6" s="51">
        <v>22485000</v>
      </c>
      <c r="P6" s="61">
        <f t="shared" si="0"/>
        <v>24719346535</v>
      </c>
    </row>
    <row r="7" spans="1:17" x14ac:dyDescent="0.35">
      <c r="C7" s="18" t="s">
        <v>56</v>
      </c>
      <c r="D7" s="52">
        <v>1761093676.73</v>
      </c>
      <c r="E7" s="52">
        <v>6904052594</v>
      </c>
      <c r="F7" s="52">
        <v>4539194129</v>
      </c>
      <c r="G7" s="52">
        <v>10255642004</v>
      </c>
      <c r="H7" s="52">
        <v>12027463621</v>
      </c>
      <c r="I7" s="52">
        <v>4448019874</v>
      </c>
      <c r="J7" s="52">
        <v>9498554940</v>
      </c>
      <c r="K7" s="52">
        <v>9994712039</v>
      </c>
      <c r="L7" s="52">
        <v>2271948372</v>
      </c>
      <c r="M7" s="52">
        <v>13307416581</v>
      </c>
      <c r="N7" s="52">
        <v>13184921639</v>
      </c>
      <c r="O7" s="51">
        <v>821775735</v>
      </c>
      <c r="P7" s="61">
        <f t="shared" si="0"/>
        <v>89014795204.729996</v>
      </c>
    </row>
    <row r="8" spans="1:17" x14ac:dyDescent="0.35">
      <c r="C8" s="18" t="s">
        <v>57</v>
      </c>
      <c r="D8" s="52">
        <v>26885706714.510002</v>
      </c>
      <c r="E8" s="52">
        <v>48533763563</v>
      </c>
      <c r="F8" s="52">
        <v>19028924121</v>
      </c>
      <c r="G8" s="52">
        <v>40825334170</v>
      </c>
      <c r="H8" s="52">
        <v>36786289584</v>
      </c>
      <c r="I8" s="52">
        <v>15077470982</v>
      </c>
      <c r="J8" s="52">
        <v>53244946509</v>
      </c>
      <c r="K8" s="52">
        <v>35493682223</v>
      </c>
      <c r="L8" s="52">
        <v>9577644941</v>
      </c>
      <c r="M8" s="52">
        <v>45718033927</v>
      </c>
      <c r="N8" s="52">
        <v>61541900349</v>
      </c>
      <c r="O8" s="51">
        <v>332400700</v>
      </c>
      <c r="P8" s="61">
        <f t="shared" si="0"/>
        <v>393046097783.51001</v>
      </c>
    </row>
    <row r="9" spans="1:17" x14ac:dyDescent="0.35">
      <c r="C9" s="18" t="s">
        <v>5</v>
      </c>
      <c r="D9" s="52">
        <v>65115247736.759995</v>
      </c>
      <c r="E9" s="52">
        <v>79137775532.470001</v>
      </c>
      <c r="F9" s="52">
        <v>38050367476</v>
      </c>
      <c r="G9" s="52">
        <v>81065921907</v>
      </c>
      <c r="H9" s="52">
        <v>74581904687.199997</v>
      </c>
      <c r="I9" s="52">
        <v>33859973210</v>
      </c>
      <c r="J9" s="52">
        <v>69799685639</v>
      </c>
      <c r="K9" s="52">
        <v>53617363652</v>
      </c>
      <c r="L9" s="52">
        <v>12971042067</v>
      </c>
      <c r="M9" s="52">
        <v>66958054541</v>
      </c>
      <c r="N9" s="52">
        <v>69872516051.419998</v>
      </c>
      <c r="O9" s="51">
        <v>6921858957</v>
      </c>
      <c r="P9" s="61">
        <f t="shared" si="0"/>
        <v>651951711456.84998</v>
      </c>
    </row>
    <row r="10" spans="1:17" x14ac:dyDescent="0.35">
      <c r="C10" s="18" t="s">
        <v>58</v>
      </c>
      <c r="D10" s="52">
        <v>15910013277</v>
      </c>
      <c r="E10" s="52">
        <v>19932965577.099998</v>
      </c>
      <c r="F10" s="52">
        <v>1212924727</v>
      </c>
      <c r="G10" s="52">
        <v>5612480459</v>
      </c>
      <c r="H10" s="52">
        <v>4921090724</v>
      </c>
      <c r="I10" s="52">
        <v>2803195455</v>
      </c>
      <c r="J10" s="52">
        <v>4032822677.3099999</v>
      </c>
      <c r="K10" s="52">
        <v>4954974041</v>
      </c>
      <c r="L10" s="52">
        <v>1531492073</v>
      </c>
      <c r="M10" s="52">
        <v>2583592611</v>
      </c>
      <c r="N10" s="52">
        <v>3488470769</v>
      </c>
      <c r="O10" s="51">
        <v>240663701</v>
      </c>
      <c r="P10" s="61">
        <f t="shared" si="0"/>
        <v>67224686091.409996</v>
      </c>
    </row>
    <row r="11" spans="1:17" x14ac:dyDescent="0.35">
      <c r="A11" s="17"/>
      <c r="B11" s="17"/>
      <c r="C11" s="19" t="s">
        <v>59</v>
      </c>
      <c r="D11" s="53">
        <v>415492671</v>
      </c>
      <c r="E11" s="53">
        <v>720072431.90002441</v>
      </c>
      <c r="F11" s="53">
        <v>19684108</v>
      </c>
      <c r="G11" s="53">
        <v>737778625.79998779</v>
      </c>
      <c r="H11" s="53">
        <v>938555656</v>
      </c>
      <c r="I11" s="53">
        <v>1608483497</v>
      </c>
      <c r="J11" s="53">
        <v>58699781</v>
      </c>
      <c r="K11" s="53">
        <v>722626553</v>
      </c>
      <c r="L11" s="53">
        <v>2087510</v>
      </c>
      <c r="M11" s="53">
        <v>149832306.8999939</v>
      </c>
      <c r="N11" s="53">
        <v>72401000</v>
      </c>
      <c r="O11" s="51">
        <v>0</v>
      </c>
      <c r="P11" s="61">
        <f t="shared" si="0"/>
        <v>5445714140.6000061</v>
      </c>
    </row>
    <row r="12" spans="1:17" x14ac:dyDescent="0.35">
      <c r="C12" s="19"/>
      <c r="D12" s="20">
        <f>SUM(D3:D11)</f>
        <v>378134756238.89001</v>
      </c>
      <c r="E12" s="20">
        <f t="shared" ref="E12:P12" si="1">SUM(E3:E11)</f>
        <v>362093660031</v>
      </c>
      <c r="F12" s="20">
        <f t="shared" si="1"/>
        <v>181647161244</v>
      </c>
      <c r="G12" s="20">
        <f t="shared" si="1"/>
        <v>305613904372</v>
      </c>
      <c r="H12" s="20">
        <f t="shared" si="1"/>
        <v>287429266864</v>
      </c>
      <c r="I12" s="20">
        <f t="shared" si="1"/>
        <v>104262552145</v>
      </c>
      <c r="J12" s="20">
        <f t="shared" si="1"/>
        <v>272858731921</v>
      </c>
      <c r="K12" s="20">
        <f t="shared" si="1"/>
        <v>213967158315</v>
      </c>
      <c r="L12" s="20">
        <f t="shared" si="1"/>
        <v>93381856496</v>
      </c>
      <c r="M12" s="20">
        <f t="shared" si="1"/>
        <v>232736510941</v>
      </c>
      <c r="N12" s="20">
        <f t="shared" si="1"/>
        <v>370666330602</v>
      </c>
      <c r="O12" s="20">
        <f t="shared" si="1"/>
        <v>19396450659</v>
      </c>
      <c r="P12" s="20">
        <f t="shared" si="1"/>
        <v>2822188339828.8901</v>
      </c>
    </row>
    <row r="13" spans="1:17" x14ac:dyDescent="0.35">
      <c r="N13"/>
    </row>
    <row r="15" spans="1:17" x14ac:dyDescent="0.35"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27" spans="4:15" x14ac:dyDescent="0.35"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topLeftCell="D1" workbookViewId="0">
      <selection activeCell="D12" sqref="D12:P12"/>
    </sheetView>
  </sheetViews>
  <sheetFormatPr defaultColWidth="9.1796875" defaultRowHeight="14.5" x14ac:dyDescent="0.35"/>
  <cols>
    <col min="1" max="1" width="19.7265625" style="15" bestFit="1" customWidth="1"/>
    <col min="2" max="2" width="9.1796875" style="15" customWidth="1"/>
    <col min="3" max="3" width="29.7265625" style="15" bestFit="1" customWidth="1"/>
    <col min="4" max="9" width="12" style="15" bestFit="1" customWidth="1"/>
    <col min="10" max="10" width="11" style="15" bestFit="1" customWidth="1"/>
    <col min="11" max="11" width="12" style="15" bestFit="1" customWidth="1"/>
    <col min="12" max="12" width="12" style="15" customWidth="1"/>
    <col min="13" max="13" width="11" style="15" bestFit="1" customWidth="1"/>
    <col min="14" max="15" width="12" style="15" bestFit="1" customWidth="1"/>
    <col min="16" max="16" width="11.36328125" style="29" bestFit="1" customWidth="1"/>
    <col min="17" max="16384" width="9.1796875" style="29"/>
  </cols>
  <sheetData>
    <row r="1" spans="1:16" ht="15" thickBot="1" x14ac:dyDescent="0.4">
      <c r="A1" s="40" t="str">
        <f>'Fixed rate bond (Values)'!A1</f>
        <v>25 August 2023</v>
      </c>
    </row>
    <row r="2" spans="1:16" ht="15" thickBot="1" x14ac:dyDescent="0.4">
      <c r="A2" s="17"/>
      <c r="B2" s="17"/>
      <c r="C2" s="45" t="s">
        <v>40</v>
      </c>
      <c r="D2" s="46" t="s">
        <v>41</v>
      </c>
      <c r="E2" s="46" t="s">
        <v>42</v>
      </c>
      <c r="F2" s="46" t="s">
        <v>43</v>
      </c>
      <c r="G2" s="46" t="s">
        <v>44</v>
      </c>
      <c r="H2" s="46" t="s">
        <v>45</v>
      </c>
      <c r="I2" s="46" t="s">
        <v>46</v>
      </c>
      <c r="J2" s="46" t="s">
        <v>47</v>
      </c>
      <c r="K2" s="46" t="s">
        <v>48</v>
      </c>
      <c r="L2" s="46" t="s">
        <v>49</v>
      </c>
      <c r="M2" s="46" t="s">
        <v>50</v>
      </c>
      <c r="N2" s="46" t="s">
        <v>51</v>
      </c>
      <c r="O2" s="46" t="s">
        <v>79</v>
      </c>
      <c r="P2" s="46" t="s">
        <v>72</v>
      </c>
    </row>
    <row r="3" spans="1:16" x14ac:dyDescent="0.35">
      <c r="C3" s="47" t="s">
        <v>53</v>
      </c>
      <c r="D3" s="59">
        <v>0.35238091012377004</v>
      </c>
      <c r="E3" s="59">
        <v>0.30146152071167082</v>
      </c>
      <c r="F3" s="59">
        <v>0.3240106855671771</v>
      </c>
      <c r="G3" s="59">
        <v>0.28641155814839792</v>
      </c>
      <c r="H3" s="59">
        <v>0.33887920152921508</v>
      </c>
      <c r="I3" s="59">
        <v>0.28855869798927414</v>
      </c>
      <c r="J3" s="59">
        <v>0.31583160501145591</v>
      </c>
      <c r="K3" s="59">
        <v>0.26795893128417836</v>
      </c>
      <c r="L3" s="59">
        <v>0.47289022861621477</v>
      </c>
      <c r="M3" s="59">
        <v>0.24109351964644909</v>
      </c>
      <c r="N3" s="59">
        <v>0.24154986894705807</v>
      </c>
      <c r="O3" s="59">
        <v>0.2089093997266874</v>
      </c>
      <c r="P3" s="59">
        <v>0.30247817420067968</v>
      </c>
    </row>
    <row r="4" spans="1:16" x14ac:dyDescent="0.35">
      <c r="C4" s="48" t="s">
        <v>73</v>
      </c>
      <c r="D4" s="59">
        <v>0.29854774984709398</v>
      </c>
      <c r="E4" s="59">
        <v>0.23084109409530651</v>
      </c>
      <c r="F4" s="59">
        <v>0.28857495396576943</v>
      </c>
      <c r="G4" s="59">
        <v>0.21329080331651343</v>
      </c>
      <c r="H4" s="59">
        <v>0.14111915957741425</v>
      </c>
      <c r="I4" s="59">
        <v>0.1066116933867234</v>
      </c>
      <c r="J4" s="59">
        <v>9.8589085734219914E-2</v>
      </c>
      <c r="K4" s="59">
        <v>0.13624578958553338</v>
      </c>
      <c r="L4" s="59">
        <v>0.13045436679149572</v>
      </c>
      <c r="M4" s="59">
        <v>0.11371292222305876</v>
      </c>
      <c r="N4" s="59">
        <v>0.30612540476037442</v>
      </c>
      <c r="O4" s="60">
        <v>6.9294380174465098E-2</v>
      </c>
      <c r="P4" s="60">
        <v>0.20383930154706786</v>
      </c>
    </row>
    <row r="5" spans="1:16" x14ac:dyDescent="0.35">
      <c r="C5" s="48" t="s">
        <v>54</v>
      </c>
      <c r="D5" s="59">
        <v>5.1315939891124783E-2</v>
      </c>
      <c r="E5" s="59">
        <v>2.9199242580206522E-2</v>
      </c>
      <c r="F5" s="59">
        <v>3.5666103255516723E-2</v>
      </c>
      <c r="G5" s="59">
        <v>3.6756989404927075E-2</v>
      </c>
      <c r="H5" s="59">
        <v>5.9586790788092585E-2</v>
      </c>
      <c r="I5" s="59">
        <v>4.662342840255438E-2</v>
      </c>
      <c r="J5" s="59">
        <v>7.354170255694728E-2</v>
      </c>
      <c r="K5" s="59">
        <v>9.6663963735737671E-2</v>
      </c>
      <c r="L5" s="59">
        <v>0.10702701398347235</v>
      </c>
      <c r="M5" s="59">
        <v>8.5186059483490228E-2</v>
      </c>
      <c r="N5" s="59">
        <v>4.3042903381831775E-2</v>
      </c>
      <c r="O5" s="60">
        <v>0.29186271114881712</v>
      </c>
      <c r="P5" s="60">
        <v>5.7353618121643066E-2</v>
      </c>
    </row>
    <row r="6" spans="1:16" x14ac:dyDescent="0.35">
      <c r="C6" s="48" t="s">
        <v>55</v>
      </c>
      <c r="D6" s="59">
        <v>6.6222729666722442E-3</v>
      </c>
      <c r="E6" s="59">
        <v>9.8006899007736792E-3</v>
      </c>
      <c r="F6" s="59">
        <v>5.741778879764633E-3</v>
      </c>
      <c r="G6" s="59">
        <v>1.0363764228949085E-2</v>
      </c>
      <c r="H6" s="59">
        <v>1.0720543546659756E-2</v>
      </c>
      <c r="I6" s="59">
        <v>3.863879664481428E-3</v>
      </c>
      <c r="J6" s="59">
        <v>1.1285042964619209E-2</v>
      </c>
      <c r="K6" s="59">
        <v>9.4142983851498181E-3</v>
      </c>
      <c r="L6" s="59">
        <v>7.4085252955924481E-3</v>
      </c>
      <c r="M6" s="59">
        <v>6.9488941054460717E-3</v>
      </c>
      <c r="N6" s="59">
        <v>9.5686642653506297E-3</v>
      </c>
      <c r="O6" s="60">
        <v>1.1592327068131356E-3</v>
      </c>
      <c r="P6" s="60">
        <v>8.7589287313470862E-3</v>
      </c>
    </row>
    <row r="7" spans="1:16" x14ac:dyDescent="0.35">
      <c r="C7" s="48" t="s">
        <v>56</v>
      </c>
      <c r="D7" s="59">
        <v>4.6573176564002842E-3</v>
      </c>
      <c r="E7" s="59">
        <v>1.9067035289733938E-2</v>
      </c>
      <c r="F7" s="59">
        <v>2.498907276014441E-2</v>
      </c>
      <c r="G7" s="59">
        <v>3.3557511151444883E-2</v>
      </c>
      <c r="H7" s="59">
        <v>4.1844951115193547E-2</v>
      </c>
      <c r="I7" s="59">
        <v>4.2661720651284755E-2</v>
      </c>
      <c r="J7" s="59">
        <v>3.4811255161700631E-2</v>
      </c>
      <c r="K7" s="59">
        <v>4.6711430472362023E-2</v>
      </c>
      <c r="L7" s="59">
        <v>2.4329655216239126E-2</v>
      </c>
      <c r="M7" s="59">
        <v>5.7178035913641005E-2</v>
      </c>
      <c r="N7" s="59">
        <v>3.5570864010190349E-2</v>
      </c>
      <c r="O7" s="60">
        <v>4.2367325313649284E-2</v>
      </c>
      <c r="P7" s="60">
        <v>3.1541054134653176E-2</v>
      </c>
    </row>
    <row r="8" spans="1:16" x14ac:dyDescent="0.35">
      <c r="C8" s="48" t="s">
        <v>57</v>
      </c>
      <c r="D8" s="59">
        <v>7.1100860925687334E-2</v>
      </c>
      <c r="E8" s="59">
        <v>0.13403649088703976</v>
      </c>
      <c r="F8" s="59">
        <v>0.10475761906038895</v>
      </c>
      <c r="G8" s="59">
        <v>0.133584675258448</v>
      </c>
      <c r="H8" s="59">
        <v>0.12798379923296327</v>
      </c>
      <c r="I8" s="59">
        <v>0.14461060727759151</v>
      </c>
      <c r="J8" s="59">
        <v>0.19513741097505305</v>
      </c>
      <c r="K8" s="59">
        <v>0.16588378563567502</v>
      </c>
      <c r="L8" s="59">
        <v>0.10256430210733984</v>
      </c>
      <c r="M8" s="59">
        <v>0.19643687937983129</v>
      </c>
      <c r="N8" s="59">
        <v>0.16603045722833704</v>
      </c>
      <c r="O8" s="60">
        <v>1.7137192048369183E-2</v>
      </c>
      <c r="P8" s="60">
        <v>0.13926997438000205</v>
      </c>
    </row>
    <row r="9" spans="1:16" x14ac:dyDescent="0.35">
      <c r="C9" s="48" t="s">
        <v>5</v>
      </c>
      <c r="D9" s="59">
        <v>0.17220117077950606</v>
      </c>
      <c r="E9" s="59">
        <v>0.21855609271284884</v>
      </c>
      <c r="F9" s="59">
        <v>0.20947405517055304</v>
      </c>
      <c r="G9" s="59">
        <v>0.26525600029089241</v>
      </c>
      <c r="H9" s="59">
        <v>0.25947915986749243</v>
      </c>
      <c r="I9" s="59">
        <v>0.32475680398567514</v>
      </c>
      <c r="J9" s="59">
        <v>0.25580887643796901</v>
      </c>
      <c r="K9" s="59">
        <v>0.2505868848015691</v>
      </c>
      <c r="L9" s="59">
        <v>0.13890323617153202</v>
      </c>
      <c r="M9" s="59">
        <v>0.28769897026588254</v>
      </c>
      <c r="N9" s="59">
        <v>0.18850516025542405</v>
      </c>
      <c r="O9" s="60">
        <v>0.35686214342458789</v>
      </c>
      <c r="P9" s="60">
        <v>0.23100928533223899</v>
      </c>
    </row>
    <row r="10" spans="1:16" x14ac:dyDescent="0.35">
      <c r="C10" s="48" t="s">
        <v>58</v>
      </c>
      <c r="D10" s="59">
        <v>4.2074982567719077E-2</v>
      </c>
      <c r="E10" s="59">
        <v>5.5049197976549696E-2</v>
      </c>
      <c r="F10" s="59">
        <v>6.6773668175894169E-3</v>
      </c>
      <c r="G10" s="59">
        <v>1.8364610964062566E-2</v>
      </c>
      <c r="H10" s="59">
        <v>1.7121049563573017E-2</v>
      </c>
      <c r="I10" s="59">
        <v>2.6885927855492549E-2</v>
      </c>
      <c r="J10" s="59">
        <v>1.4779892323466531E-2</v>
      </c>
      <c r="K10" s="59">
        <v>2.315763820962348E-2</v>
      </c>
      <c r="L10" s="59">
        <v>1.6400317261475748E-2</v>
      </c>
      <c r="M10" s="59">
        <v>1.110093384383061E-2</v>
      </c>
      <c r="N10" s="59">
        <v>9.4113505354920333E-3</v>
      </c>
      <c r="O10" s="60">
        <v>1.2407615456610947E-2</v>
      </c>
      <c r="P10" s="60">
        <v>2.3820056635726106E-2</v>
      </c>
    </row>
    <row r="11" spans="1:16" x14ac:dyDescent="0.35">
      <c r="C11" s="48" t="s">
        <v>59</v>
      </c>
      <c r="D11" s="59">
        <v>1.0987952420261225E-3</v>
      </c>
      <c r="E11" s="59">
        <v>1.9886358458703107E-3</v>
      </c>
      <c r="F11" s="59">
        <v>1.0836452309628476E-4</v>
      </c>
      <c r="G11" s="59">
        <v>2.4140872363645712E-3</v>
      </c>
      <c r="H11" s="59">
        <v>3.2653447793960623E-3</v>
      </c>
      <c r="I11" s="59">
        <v>1.5427240786922711E-2</v>
      </c>
      <c r="J11" s="59">
        <v>2.1512883456848718E-4</v>
      </c>
      <c r="K11" s="59">
        <v>3.3772778901711518E-3</v>
      </c>
      <c r="L11" s="59">
        <v>2.235455663798479E-5</v>
      </c>
      <c r="M11" s="59">
        <v>6.4378513837039188E-4</v>
      </c>
      <c r="N11" s="59">
        <v>1.9532661594165668E-4</v>
      </c>
      <c r="O11" s="60">
        <v>0</v>
      </c>
      <c r="P11" s="60">
        <v>1.9296069166419207E-3</v>
      </c>
    </row>
    <row r="12" spans="1:16" ht="15" thickBot="1" x14ac:dyDescent="0.4">
      <c r="A12" s="17"/>
      <c r="B12" s="17"/>
      <c r="C12" s="49"/>
      <c r="D12" s="50">
        <f>SUM(D3:D11)</f>
        <v>1</v>
      </c>
      <c r="E12" s="50">
        <f t="shared" ref="E12:P12" si="0">SUM(E3:E11)</f>
        <v>1.0000000000000002</v>
      </c>
      <c r="F12" s="50">
        <f t="shared" si="0"/>
        <v>1.0000000000000002</v>
      </c>
      <c r="G12" s="50">
        <f t="shared" si="0"/>
        <v>1</v>
      </c>
      <c r="H12" s="50">
        <f t="shared" si="0"/>
        <v>0.99999999999999989</v>
      </c>
      <c r="I12" s="50">
        <f t="shared" si="0"/>
        <v>1.0000000000000002</v>
      </c>
      <c r="J12" s="50">
        <f t="shared" si="0"/>
        <v>1</v>
      </c>
      <c r="K12" s="50">
        <f t="shared" si="0"/>
        <v>1</v>
      </c>
      <c r="L12" s="50">
        <f t="shared" si="0"/>
        <v>0.99999999999999989</v>
      </c>
      <c r="M12" s="50">
        <f t="shared" si="0"/>
        <v>0.99999999999999989</v>
      </c>
      <c r="N12" s="50">
        <f t="shared" si="0"/>
        <v>1.0000000000000002</v>
      </c>
      <c r="O12" s="50">
        <f t="shared" si="0"/>
        <v>1</v>
      </c>
      <c r="P12" s="50">
        <f t="shared" si="0"/>
        <v>0.99999999999999978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topLeftCell="F1" workbookViewId="0">
      <selection activeCell="N3" sqref="N3:N11"/>
    </sheetView>
  </sheetViews>
  <sheetFormatPr defaultColWidth="9.1796875" defaultRowHeight="14.5" x14ac:dyDescent="0.35"/>
  <cols>
    <col min="1" max="1" width="19.7265625" style="15" bestFit="1" customWidth="1"/>
    <col min="2" max="2" width="9.1796875" style="15" customWidth="1"/>
    <col min="3" max="3" width="31.26953125" style="30" customWidth="1"/>
    <col min="4" max="6" width="17.7265625" style="15" bestFit="1" customWidth="1"/>
    <col min="7" max="7" width="16.54296875" style="15" bestFit="1" customWidth="1"/>
    <col min="8" max="11" width="17.7265625" style="15" bestFit="1" customWidth="1"/>
    <col min="12" max="12" width="18.7265625" style="15" bestFit="1" customWidth="1"/>
    <col min="13" max="13" width="18.81640625" style="29" customWidth="1"/>
    <col min="14" max="14" width="15.6328125" style="29" bestFit="1" customWidth="1"/>
    <col min="15" max="16384" width="9.1796875" style="29"/>
  </cols>
  <sheetData>
    <row r="1" spans="1:14" x14ac:dyDescent="0.35">
      <c r="A1" s="40" t="str">
        <f>'Fixed rate bond (Values)'!A1</f>
        <v>25 August 2023</v>
      </c>
      <c r="B1" s="28"/>
      <c r="D1" s="33"/>
      <c r="E1" s="33"/>
      <c r="F1" s="33"/>
      <c r="G1" s="33"/>
      <c r="H1" s="33"/>
      <c r="I1" s="33"/>
      <c r="J1" s="33"/>
      <c r="K1" s="33"/>
    </row>
    <row r="2" spans="1:14" x14ac:dyDescent="0.35">
      <c r="A2" s="17"/>
      <c r="B2" s="17"/>
      <c r="C2" s="18" t="s">
        <v>40</v>
      </c>
      <c r="D2" s="41" t="s">
        <v>60</v>
      </c>
      <c r="E2" s="41" t="s">
        <v>61</v>
      </c>
      <c r="F2" s="41" t="s">
        <v>62</v>
      </c>
      <c r="G2" s="41" t="s">
        <v>68</v>
      </c>
      <c r="H2" s="41" t="s">
        <v>80</v>
      </c>
      <c r="I2" s="41" t="s">
        <v>63</v>
      </c>
      <c r="J2" s="41" t="s">
        <v>64</v>
      </c>
      <c r="K2" s="41" t="s">
        <v>65</v>
      </c>
      <c r="L2" s="41" t="s">
        <v>66</v>
      </c>
      <c r="M2" s="22" t="s">
        <v>67</v>
      </c>
      <c r="N2" s="22" t="s">
        <v>72</v>
      </c>
    </row>
    <row r="3" spans="1:14" x14ac:dyDescent="0.35">
      <c r="C3" s="18" t="s">
        <v>53</v>
      </c>
      <c r="D3" s="52">
        <v>540542594</v>
      </c>
      <c r="E3" s="52">
        <v>1531842612</v>
      </c>
      <c r="F3" s="52">
        <v>118732432</v>
      </c>
      <c r="G3" s="52">
        <v>5416164366</v>
      </c>
      <c r="H3" s="52">
        <v>124000000</v>
      </c>
      <c r="I3" s="52">
        <v>12653680659</v>
      </c>
      <c r="J3" s="52">
        <v>245735735</v>
      </c>
      <c r="K3" s="52">
        <v>3217804251</v>
      </c>
      <c r="L3" s="52">
        <v>5476258404</v>
      </c>
      <c r="M3" s="53">
        <v>2485580111</v>
      </c>
      <c r="N3" s="20">
        <f>SUM(D3:M3)</f>
        <v>31810341164</v>
      </c>
    </row>
    <row r="4" spans="1:14" x14ac:dyDescent="0.35">
      <c r="C4" s="18" t="s">
        <v>73</v>
      </c>
      <c r="D4" s="52">
        <v>10055517054.529999</v>
      </c>
      <c r="E4" s="52">
        <v>13391369389</v>
      </c>
      <c r="F4" s="52">
        <v>1758739890.23</v>
      </c>
      <c r="G4" s="52">
        <v>2044798675</v>
      </c>
      <c r="H4" s="52">
        <v>265150400</v>
      </c>
      <c r="I4" s="52">
        <v>1437348136</v>
      </c>
      <c r="J4" s="52">
        <v>4912965706.9700003</v>
      </c>
      <c r="K4" s="52">
        <v>6294949079</v>
      </c>
      <c r="L4" s="52">
        <v>15094080106.99</v>
      </c>
      <c r="M4" s="53">
        <v>13676625354.15</v>
      </c>
      <c r="N4" s="20">
        <f t="shared" ref="N4:N11" si="0">SUM(D4:M4)</f>
        <v>68931543791.869995</v>
      </c>
    </row>
    <row r="5" spans="1:14" x14ac:dyDescent="0.35">
      <c r="C5" s="18" t="s">
        <v>54</v>
      </c>
      <c r="D5" s="52">
        <v>493408434.92000002</v>
      </c>
      <c r="E5" s="52">
        <v>3248710795</v>
      </c>
      <c r="F5" s="52">
        <v>1615393087</v>
      </c>
      <c r="G5" s="52">
        <v>2235018794</v>
      </c>
      <c r="H5" s="52">
        <v>68000000</v>
      </c>
      <c r="I5" s="52">
        <v>2287250184</v>
      </c>
      <c r="J5" s="52">
        <v>1226274026</v>
      </c>
      <c r="K5" s="52">
        <v>3494797805</v>
      </c>
      <c r="L5" s="52">
        <v>4879667887</v>
      </c>
      <c r="M5" s="53">
        <v>4960003531</v>
      </c>
      <c r="N5" s="20">
        <f t="shared" si="0"/>
        <v>24508524543.919998</v>
      </c>
    </row>
    <row r="6" spans="1:14" x14ac:dyDescent="0.35">
      <c r="C6" s="18" t="s">
        <v>55</v>
      </c>
      <c r="D6" s="52">
        <v>52939238</v>
      </c>
      <c r="E6" s="52">
        <v>1417723855</v>
      </c>
      <c r="F6" s="52">
        <v>234543153</v>
      </c>
      <c r="G6" s="52">
        <v>1055364029</v>
      </c>
      <c r="H6" s="52">
        <v>8000000</v>
      </c>
      <c r="I6" s="52">
        <v>1486615956</v>
      </c>
      <c r="J6" s="52">
        <v>578737812</v>
      </c>
      <c r="K6" s="52">
        <v>1475821583.1100001</v>
      </c>
      <c r="L6" s="52">
        <v>1178945539</v>
      </c>
      <c r="M6" s="53">
        <v>1961801476.8099999</v>
      </c>
      <c r="N6" s="20">
        <f t="shared" si="0"/>
        <v>9450492641.9200001</v>
      </c>
    </row>
    <row r="7" spans="1:14" x14ac:dyDescent="0.35">
      <c r="C7" s="18" t="s">
        <v>56</v>
      </c>
      <c r="D7" s="52">
        <v>463639397</v>
      </c>
      <c r="E7" s="52">
        <v>6283371309</v>
      </c>
      <c r="F7" s="52">
        <v>2250564516.75</v>
      </c>
      <c r="G7" s="52">
        <v>5101122294</v>
      </c>
      <c r="H7" s="52">
        <v>20800000</v>
      </c>
      <c r="I7" s="52">
        <v>9825396940</v>
      </c>
      <c r="J7" s="52">
        <v>3563469925.6399999</v>
      </c>
      <c r="K7" s="52">
        <v>11937598333</v>
      </c>
      <c r="L7" s="52">
        <v>14770961195</v>
      </c>
      <c r="M7" s="53">
        <v>19143341774.040001</v>
      </c>
      <c r="N7" s="20">
        <f t="shared" si="0"/>
        <v>73360265684.429993</v>
      </c>
    </row>
    <row r="8" spans="1:14" x14ac:dyDescent="0.35">
      <c r="C8" s="18" t="s">
        <v>57</v>
      </c>
      <c r="D8" s="52">
        <v>18016802988</v>
      </c>
      <c r="E8" s="52">
        <v>25803546265</v>
      </c>
      <c r="F8" s="52">
        <v>19428471590</v>
      </c>
      <c r="G8" s="52">
        <v>15569239477</v>
      </c>
      <c r="H8" s="52">
        <v>200000000</v>
      </c>
      <c r="I8" s="52">
        <v>24852473028</v>
      </c>
      <c r="J8" s="52">
        <v>23220083661</v>
      </c>
      <c r="K8" s="52">
        <v>45272144148</v>
      </c>
      <c r="L8" s="52">
        <v>41361025726</v>
      </c>
      <c r="M8" s="53">
        <v>48238677765</v>
      </c>
      <c r="N8" s="20">
        <f t="shared" si="0"/>
        <v>261962464648</v>
      </c>
    </row>
    <row r="9" spans="1:14" x14ac:dyDescent="0.35">
      <c r="C9" s="18" t="s">
        <v>5</v>
      </c>
      <c r="D9" s="52">
        <v>1694984421.55</v>
      </c>
      <c r="E9" s="52">
        <v>15582913963</v>
      </c>
      <c r="F9" s="52">
        <v>3357621693.02</v>
      </c>
      <c r="G9" s="52">
        <v>14082569959</v>
      </c>
      <c r="H9" s="52">
        <v>529049600</v>
      </c>
      <c r="I9" s="52">
        <v>11901777035</v>
      </c>
      <c r="J9" s="52">
        <v>4017436954.3899999</v>
      </c>
      <c r="K9" s="52">
        <v>7627316917.8900003</v>
      </c>
      <c r="L9" s="52">
        <v>7842328020.0099993</v>
      </c>
      <c r="M9" s="53">
        <v>9160366431</v>
      </c>
      <c r="N9" s="20">
        <f t="shared" si="0"/>
        <v>75796364994.860001</v>
      </c>
    </row>
    <row r="10" spans="1:14" x14ac:dyDescent="0.35">
      <c r="C10" s="18" t="s">
        <v>58</v>
      </c>
      <c r="D10" s="52">
        <v>2433299349</v>
      </c>
      <c r="E10" s="52">
        <v>623115998</v>
      </c>
      <c r="F10" s="52">
        <v>1232537200</v>
      </c>
      <c r="G10" s="52">
        <v>250107095</v>
      </c>
      <c r="H10" s="52">
        <v>0</v>
      </c>
      <c r="I10" s="52">
        <v>344684530</v>
      </c>
      <c r="J10" s="52">
        <v>56426550</v>
      </c>
      <c r="K10" s="52">
        <v>1277904883</v>
      </c>
      <c r="L10" s="52">
        <v>1587098122</v>
      </c>
      <c r="M10" s="53">
        <v>1878825557</v>
      </c>
      <c r="N10" s="20">
        <f t="shared" si="0"/>
        <v>9683999284</v>
      </c>
    </row>
    <row r="11" spans="1:14" x14ac:dyDescent="0.35">
      <c r="C11" s="18" t="s">
        <v>59</v>
      </c>
      <c r="D11" s="53">
        <v>6384000.0000038147</v>
      </c>
      <c r="E11" s="53">
        <v>27405813.999992371</v>
      </c>
      <c r="F11" s="53">
        <v>6214000</v>
      </c>
      <c r="G11" s="53">
        <v>615311</v>
      </c>
      <c r="H11" s="53">
        <v>0</v>
      </c>
      <c r="I11" s="53">
        <v>175773532</v>
      </c>
      <c r="J11" s="53">
        <v>20054628</v>
      </c>
      <c r="K11" s="53">
        <v>6663000</v>
      </c>
      <c r="L11" s="53">
        <v>34635000.000015259</v>
      </c>
      <c r="M11" s="53">
        <v>24778000</v>
      </c>
      <c r="N11" s="20">
        <f t="shared" si="0"/>
        <v>302523285.00001144</v>
      </c>
    </row>
    <row r="12" spans="1:14" x14ac:dyDescent="0.35">
      <c r="A12" s="17"/>
      <c r="B12" s="17"/>
      <c r="C12" s="18"/>
      <c r="D12" s="34">
        <f>SUM(D3:D11)</f>
        <v>33757517477</v>
      </c>
      <c r="E12" s="34">
        <f t="shared" ref="E12:N12" si="1">SUM(E3:E11)</f>
        <v>67909999999.999992</v>
      </c>
      <c r="F12" s="34">
        <f t="shared" si="1"/>
        <v>30002817562</v>
      </c>
      <c r="G12" s="34">
        <f t="shared" si="1"/>
        <v>45755000000</v>
      </c>
      <c r="H12" s="34">
        <f t="shared" si="1"/>
        <v>1215000000</v>
      </c>
      <c r="I12" s="34">
        <f t="shared" si="1"/>
        <v>64965000000</v>
      </c>
      <c r="J12" s="34">
        <f t="shared" si="1"/>
        <v>37841184999</v>
      </c>
      <c r="K12" s="34">
        <f t="shared" si="1"/>
        <v>80605000000</v>
      </c>
      <c r="L12" s="34">
        <f t="shared" si="1"/>
        <v>92225000000</v>
      </c>
      <c r="M12" s="34">
        <f t="shared" si="1"/>
        <v>101530000000</v>
      </c>
      <c r="N12" s="34">
        <f t="shared" si="1"/>
        <v>555806520038</v>
      </c>
    </row>
    <row r="13" spans="1:14" x14ac:dyDescent="0.35">
      <c r="D13" s="26"/>
      <c r="E13" s="26"/>
      <c r="F13" s="26"/>
      <c r="G13" s="26"/>
      <c r="H13" s="26"/>
      <c r="I13" s="26"/>
      <c r="J13" s="26"/>
      <c r="K13" s="26"/>
      <c r="L13" s="26"/>
      <c r="M13" s="43"/>
    </row>
    <row r="14" spans="1:14" x14ac:dyDescent="0.35">
      <c r="D14" s="35"/>
      <c r="E14" s="35"/>
      <c r="F14" s="35"/>
      <c r="G14" s="35"/>
      <c r="H14" s="35"/>
      <c r="I14" s="35"/>
      <c r="J14" s="35"/>
      <c r="K14" s="35"/>
      <c r="L14" s="35"/>
      <c r="M14" s="43"/>
    </row>
    <row r="15" spans="1:14" x14ac:dyDescent="0.35"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4:13" x14ac:dyDescent="0.35"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4:13" x14ac:dyDescent="0.35"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4:13" x14ac:dyDescent="0.35"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4:13" x14ac:dyDescent="0.35"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4:13" x14ac:dyDescent="0.35"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4:13" x14ac:dyDescent="0.35"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4:13" x14ac:dyDescent="0.35"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4:13" x14ac:dyDescent="0.35"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topLeftCell="B1" workbookViewId="0">
      <selection activeCell="D12" sqref="D12:N12"/>
    </sheetView>
  </sheetViews>
  <sheetFormatPr defaultColWidth="9.1796875" defaultRowHeight="14.5" x14ac:dyDescent="0.35"/>
  <cols>
    <col min="1" max="1" width="18.1796875" style="15" bestFit="1" customWidth="1"/>
    <col min="2" max="2" width="9.1796875" style="15" customWidth="1"/>
    <col min="3" max="3" width="29.7265625" style="15" bestFit="1" customWidth="1"/>
    <col min="4" max="4" width="11" style="15" bestFit="1" customWidth="1"/>
    <col min="5" max="5" width="11.26953125" style="15" bestFit="1" customWidth="1"/>
    <col min="6" max="6" width="11" style="15" bestFit="1" customWidth="1"/>
    <col min="7" max="7" width="11" style="15" customWidth="1"/>
    <col min="8" max="8" width="11" style="15" bestFit="1" customWidth="1"/>
    <col min="9" max="11" width="11.26953125" style="15" bestFit="1" customWidth="1"/>
    <col min="12" max="12" width="11.7265625" style="29" customWidth="1"/>
    <col min="13" max="16384" width="9.1796875" style="29"/>
  </cols>
  <sheetData>
    <row r="1" spans="1:14" x14ac:dyDescent="0.35">
      <c r="A1" s="40" t="str">
        <f>'Fixed rate bond (Values)'!A1</f>
        <v>25 August 2023</v>
      </c>
      <c r="B1" s="28"/>
    </row>
    <row r="2" spans="1:14" x14ac:dyDescent="0.35">
      <c r="A2" s="17"/>
      <c r="B2" s="17"/>
      <c r="C2" s="18"/>
      <c r="D2" s="22" t="s">
        <v>60</v>
      </c>
      <c r="E2" s="22" t="s">
        <v>61</v>
      </c>
      <c r="F2" s="22" t="s">
        <v>62</v>
      </c>
      <c r="G2" s="22" t="s">
        <v>68</v>
      </c>
      <c r="H2" s="22" t="s">
        <v>80</v>
      </c>
      <c r="I2" s="22" t="s">
        <v>63</v>
      </c>
      <c r="J2" s="22" t="s">
        <v>64</v>
      </c>
      <c r="K2" s="22" t="s">
        <v>65</v>
      </c>
      <c r="L2" s="22" t="s">
        <v>66</v>
      </c>
      <c r="M2" s="44" t="s">
        <v>67</v>
      </c>
      <c r="N2" s="44" t="s">
        <v>72</v>
      </c>
    </row>
    <row r="3" spans="1:14" x14ac:dyDescent="0.35">
      <c r="C3" s="18" t="s">
        <v>53</v>
      </c>
      <c r="D3" s="54">
        <v>1.6012510231781341E-2</v>
      </c>
      <c r="E3" s="54">
        <v>2.2556952024738626E-2</v>
      </c>
      <c r="F3" s="54">
        <v>3.9573760615863058E-3</v>
      </c>
      <c r="G3" s="54">
        <v>0.11837316940225112</v>
      </c>
      <c r="H3" s="54">
        <v>0.10205761316872428</v>
      </c>
      <c r="I3" s="54">
        <v>0.19477689000230894</v>
      </c>
      <c r="J3" s="54">
        <v>6.4938699727953514E-3</v>
      </c>
      <c r="K3" s="54">
        <v>3.9920653197692453E-2</v>
      </c>
      <c r="L3" s="54">
        <v>5.9379326690159932E-2</v>
      </c>
      <c r="M3" s="54">
        <v>2.4481238166059294E-2</v>
      </c>
      <c r="N3" s="54">
        <v>5.7232759993216982E-2</v>
      </c>
    </row>
    <row r="4" spans="1:14" x14ac:dyDescent="0.35">
      <c r="C4" s="18" t="s">
        <v>73</v>
      </c>
      <c r="D4" s="54">
        <v>0.29787489738785211</v>
      </c>
      <c r="E4" s="54">
        <v>0.1971928933735827</v>
      </c>
      <c r="F4" s="54">
        <v>5.8619157570638569E-2</v>
      </c>
      <c r="G4" s="54">
        <v>4.4690168834007213E-2</v>
      </c>
      <c r="H4" s="54">
        <v>0.21823078189300413</v>
      </c>
      <c r="I4" s="54">
        <v>2.2124961687062263E-2</v>
      </c>
      <c r="J4" s="54">
        <v>0.12983118015727657</v>
      </c>
      <c r="K4" s="54">
        <v>7.8096260517337632E-2</v>
      </c>
      <c r="L4" s="54">
        <v>0.16366581845475739</v>
      </c>
      <c r="M4" s="54">
        <v>0.13470526301733476</v>
      </c>
      <c r="N4" s="54">
        <v>0.12402075417747385</v>
      </c>
    </row>
    <row r="5" spans="1:14" x14ac:dyDescent="0.35">
      <c r="C5" s="18" t="s">
        <v>54</v>
      </c>
      <c r="D5" s="54">
        <v>1.4616253557631241E-2</v>
      </c>
      <c r="E5" s="54">
        <v>4.7838474377853046E-2</v>
      </c>
      <c r="F5" s="54">
        <v>5.3841379519167974E-2</v>
      </c>
      <c r="G5" s="54">
        <v>4.8847531286198231E-2</v>
      </c>
      <c r="H5" s="54">
        <v>5.5967078189300412E-2</v>
      </c>
      <c r="I5" s="54">
        <v>3.5207422211960285E-2</v>
      </c>
      <c r="J5" s="54">
        <v>3.2405804047426261E-2</v>
      </c>
      <c r="K5" s="54">
        <v>4.3357084610135849E-2</v>
      </c>
      <c r="L5" s="54">
        <v>5.2910467736513964E-2</v>
      </c>
      <c r="M5" s="54">
        <v>4.8852590672707571E-2</v>
      </c>
      <c r="N5" s="54">
        <v>4.4095424685274241E-2</v>
      </c>
    </row>
    <row r="6" spans="1:14" x14ac:dyDescent="0.35">
      <c r="C6" s="18" t="s">
        <v>55</v>
      </c>
      <c r="D6" s="54">
        <v>1.5682207092411068E-3</v>
      </c>
      <c r="E6" s="54">
        <v>2.0876510896775145E-2</v>
      </c>
      <c r="F6" s="54">
        <v>7.8173709024268474E-3</v>
      </c>
      <c r="G6" s="54">
        <v>2.3065545383018249E-2</v>
      </c>
      <c r="H6" s="54">
        <v>6.5843621399176953E-3</v>
      </c>
      <c r="I6" s="54">
        <v>2.2883336504271531E-2</v>
      </c>
      <c r="J6" s="54">
        <v>1.5293860697419857E-2</v>
      </c>
      <c r="K6" s="54">
        <v>1.8309305664785065E-2</v>
      </c>
      <c r="L6" s="54">
        <v>1.2783361767416644E-2</v>
      </c>
      <c r="M6" s="54">
        <v>1.9322382318625035E-2</v>
      </c>
      <c r="N6" s="54">
        <v>1.7003205794120367E-2</v>
      </c>
    </row>
    <row r="7" spans="1:14" x14ac:dyDescent="0.35">
      <c r="C7" s="18" t="s">
        <v>56</v>
      </c>
      <c r="D7" s="54">
        <v>1.3734404412762026E-2</v>
      </c>
      <c r="E7" s="54">
        <v>9.2524978780739231E-2</v>
      </c>
      <c r="F7" s="54">
        <v>7.5011772214368541E-2</v>
      </c>
      <c r="G7" s="54">
        <v>0.11148775639820785</v>
      </c>
      <c r="H7" s="54">
        <v>1.7119341563786007E-2</v>
      </c>
      <c r="I7" s="54">
        <v>0.15124139059493574</v>
      </c>
      <c r="J7" s="54">
        <v>9.4169089200937264E-2</v>
      </c>
      <c r="K7" s="54">
        <v>0.14809997311581166</v>
      </c>
      <c r="L7" s="54">
        <v>0.16016222493900786</v>
      </c>
      <c r="M7" s="54">
        <v>0.18854862379631637</v>
      </c>
      <c r="N7" s="54">
        <v>0.13198885410594755</v>
      </c>
    </row>
    <row r="8" spans="1:14" x14ac:dyDescent="0.35">
      <c r="C8" s="18" t="s">
        <v>57</v>
      </c>
      <c r="D8" s="54">
        <v>0.53371232053054207</v>
      </c>
      <c r="E8" s="54">
        <v>0.37996681291415113</v>
      </c>
      <c r="F8" s="54">
        <v>0.64755490213049482</v>
      </c>
      <c r="G8" s="54">
        <v>0.3402740569773795</v>
      </c>
      <c r="H8" s="54">
        <v>0.16460905349794239</v>
      </c>
      <c r="I8" s="54">
        <v>0.38255172828446088</v>
      </c>
      <c r="J8" s="54">
        <v>0.61361935842161441</v>
      </c>
      <c r="K8" s="54">
        <v>0.56165429127225364</v>
      </c>
      <c r="L8" s="54">
        <v>0.44847954162103554</v>
      </c>
      <c r="M8" s="54">
        <v>0.47511748020289568</v>
      </c>
      <c r="N8" s="54">
        <v>0.47131952433751562</v>
      </c>
    </row>
    <row r="9" spans="1:14" x14ac:dyDescent="0.35">
      <c r="C9" s="18" t="s">
        <v>5</v>
      </c>
      <c r="D9" s="54">
        <v>5.0210576731681861E-2</v>
      </c>
      <c r="E9" s="54">
        <v>0.22946420207627746</v>
      </c>
      <c r="F9" s="54">
        <v>0.1119102126352489</v>
      </c>
      <c r="G9" s="54">
        <v>0.30778209942082835</v>
      </c>
      <c r="H9" s="54">
        <v>0.4354317695473251</v>
      </c>
      <c r="I9" s="54">
        <v>0.1832029097975833</v>
      </c>
      <c r="J9" s="54">
        <v>0.10616572801555146</v>
      </c>
      <c r="K9" s="54">
        <v>9.462585345685752E-2</v>
      </c>
      <c r="L9" s="54">
        <v>8.5034730496177824E-2</v>
      </c>
      <c r="M9" s="54">
        <v>9.0223248606323248E-2</v>
      </c>
      <c r="N9" s="54">
        <v>0.13637185290607579</v>
      </c>
    </row>
    <row r="10" spans="1:14" x14ac:dyDescent="0.35">
      <c r="C10" s="18" t="s">
        <v>58</v>
      </c>
      <c r="D10" s="54">
        <v>7.2081703006089806E-2</v>
      </c>
      <c r="E10" s="54">
        <v>9.1756147548225607E-3</v>
      </c>
      <c r="F10" s="54">
        <v>4.1080715084608158E-2</v>
      </c>
      <c r="G10" s="54">
        <v>5.4662243470658947E-3</v>
      </c>
      <c r="H10" s="54">
        <v>0</v>
      </c>
      <c r="I10" s="54">
        <v>5.3056958362195025E-3</v>
      </c>
      <c r="J10" s="54">
        <v>1.4911411997666337E-3</v>
      </c>
      <c r="K10" s="54">
        <v>1.5853915799268037E-2</v>
      </c>
      <c r="L10" s="54">
        <v>1.7208979365681755E-2</v>
      </c>
      <c r="M10" s="54">
        <v>1.850512712498769E-2</v>
      </c>
      <c r="N10" s="54">
        <v>1.7423327965526408E-2</v>
      </c>
    </row>
    <row r="11" spans="1:14" x14ac:dyDescent="0.35">
      <c r="C11" s="18" t="s">
        <v>59</v>
      </c>
      <c r="D11" s="54">
        <v>1.8911343241852495E-4</v>
      </c>
      <c r="E11" s="54">
        <v>4.0356080106011447E-4</v>
      </c>
      <c r="F11" s="54">
        <v>2.0711388145993088E-4</v>
      </c>
      <c r="G11" s="54">
        <v>1.3447951043601792E-5</v>
      </c>
      <c r="H11" s="54">
        <v>0</v>
      </c>
      <c r="I11" s="54">
        <v>2.7056650811975681E-3</v>
      </c>
      <c r="J11" s="54">
        <v>5.2996828721219936E-4</v>
      </c>
      <c r="K11" s="54">
        <v>8.2662365858197378E-5</v>
      </c>
      <c r="L11" s="54">
        <v>3.7554892924928447E-4</v>
      </c>
      <c r="M11" s="54">
        <v>2.440460947503201E-4</v>
      </c>
      <c r="N11" s="54">
        <v>5.442960348491921E-4</v>
      </c>
    </row>
    <row r="12" spans="1:14" x14ac:dyDescent="0.35">
      <c r="C12" s="23"/>
      <c r="D12" s="21">
        <f>SUM(D3:D11)</f>
        <v>1.0000000000000002</v>
      </c>
      <c r="E12" s="21">
        <f t="shared" ref="E12:N12" si="0">SUM(E3:E11)</f>
        <v>1</v>
      </c>
      <c r="F12" s="21">
        <f t="shared" si="0"/>
        <v>1</v>
      </c>
      <c r="G12" s="21">
        <f t="shared" si="0"/>
        <v>1</v>
      </c>
      <c r="H12" s="21">
        <f t="shared" si="0"/>
        <v>1</v>
      </c>
      <c r="I12" s="21">
        <f t="shared" si="0"/>
        <v>1</v>
      </c>
      <c r="J12" s="21">
        <f t="shared" si="0"/>
        <v>1</v>
      </c>
      <c r="K12" s="21">
        <f t="shared" si="0"/>
        <v>0.99999999999999989</v>
      </c>
      <c r="L12" s="21">
        <f t="shared" si="0"/>
        <v>1.0000000000000002</v>
      </c>
      <c r="M12" s="21">
        <f t="shared" si="0"/>
        <v>1</v>
      </c>
      <c r="N12" s="21">
        <f t="shared" si="0"/>
        <v>0.99999999999999989</v>
      </c>
    </row>
    <row r="13" spans="1:14" x14ac:dyDescent="0.35">
      <c r="D13" s="31"/>
      <c r="E13" s="31"/>
      <c r="F13" s="31"/>
      <c r="G13" s="31"/>
      <c r="H13" s="31"/>
      <c r="I13" s="31"/>
      <c r="J13" s="31"/>
      <c r="K13" s="31"/>
    </row>
    <row r="17" spans="3:11" x14ac:dyDescent="0.35">
      <c r="C17" s="29"/>
      <c r="D17" s="29"/>
      <c r="E17" s="29"/>
      <c r="F17" s="29"/>
      <c r="G17" s="29"/>
      <c r="H17" s="29"/>
      <c r="I17" s="29"/>
      <c r="J17" s="29"/>
      <c r="K17" s="29"/>
    </row>
    <row r="18" spans="3:11" x14ac:dyDescent="0.35">
      <c r="C18" s="29"/>
      <c r="D18" s="29"/>
      <c r="E18" s="29"/>
      <c r="F18" s="29"/>
      <c r="G18" s="29"/>
      <c r="H18" s="29"/>
      <c r="I18" s="29"/>
      <c r="J18" s="29"/>
      <c r="K18" s="29"/>
    </row>
    <row r="19" spans="3:11" x14ac:dyDescent="0.35">
      <c r="C19" s="29"/>
      <c r="D19" s="29"/>
      <c r="E19" s="29"/>
      <c r="F19" s="29"/>
      <c r="G19" s="29"/>
      <c r="H19" s="29"/>
      <c r="I19" s="29"/>
      <c r="J19" s="29"/>
      <c r="K19" s="29"/>
    </row>
    <row r="20" spans="3:11" x14ac:dyDescent="0.35">
      <c r="C20" s="29"/>
      <c r="D20" s="29"/>
      <c r="E20" s="29"/>
      <c r="F20" s="29"/>
      <c r="G20" s="29"/>
      <c r="H20" s="29"/>
      <c r="I20" s="29"/>
      <c r="J20" s="29"/>
      <c r="K20" s="29"/>
    </row>
    <row r="21" spans="3:11" x14ac:dyDescent="0.35">
      <c r="C21" s="29"/>
      <c r="D21" s="29"/>
      <c r="E21" s="29"/>
      <c r="F21" s="29"/>
      <c r="G21" s="29"/>
      <c r="H21" s="29"/>
      <c r="I21" s="29"/>
      <c r="J21" s="29"/>
      <c r="K21" s="29"/>
    </row>
    <row r="22" spans="3:11" x14ac:dyDescent="0.35">
      <c r="C22" s="29"/>
      <c r="D22" s="29"/>
      <c r="E22" s="29"/>
      <c r="F22" s="29"/>
      <c r="G22" s="29"/>
      <c r="H22" s="29"/>
      <c r="I22" s="29"/>
      <c r="J22" s="29"/>
      <c r="K22" s="29"/>
    </row>
    <row r="23" spans="3:11" x14ac:dyDescent="0.35">
      <c r="C23" s="29"/>
      <c r="D23" s="29"/>
      <c r="E23" s="29"/>
      <c r="F23" s="29"/>
      <c r="G23" s="29"/>
      <c r="H23" s="29"/>
      <c r="I23" s="29"/>
      <c r="J23" s="29"/>
      <c r="K23" s="29"/>
    </row>
    <row r="24" spans="3:11" x14ac:dyDescent="0.35">
      <c r="C24" s="29"/>
      <c r="D24" s="29"/>
      <c r="E24" s="29"/>
      <c r="F24" s="29"/>
      <c r="G24" s="29"/>
      <c r="H24" s="29"/>
      <c r="I24" s="29"/>
      <c r="J24" s="29"/>
      <c r="K24" s="29"/>
    </row>
    <row r="25" spans="3:11" x14ac:dyDescent="0.35">
      <c r="C25" s="29"/>
      <c r="D25" s="29"/>
      <c r="E25" s="29"/>
      <c r="F25" s="29"/>
      <c r="G25" s="29"/>
      <c r="H25" s="29"/>
      <c r="I25" s="29"/>
      <c r="J25" s="29"/>
      <c r="K25" s="29"/>
    </row>
    <row r="26" spans="3:11" x14ac:dyDescent="0.35">
      <c r="C26" s="29"/>
      <c r="D26" s="29"/>
      <c r="E26" s="29"/>
      <c r="F26" s="29"/>
      <c r="G26" s="29"/>
      <c r="H26" s="29"/>
      <c r="I26" s="29"/>
      <c r="J26" s="29"/>
      <c r="K26" s="29"/>
    </row>
    <row r="27" spans="3:11" x14ac:dyDescent="0.35">
      <c r="C27" s="29"/>
      <c r="D27" s="29"/>
      <c r="E27" s="29"/>
      <c r="F27" s="29"/>
      <c r="G27" s="29"/>
      <c r="H27" s="29"/>
      <c r="I27" s="29"/>
      <c r="J27" s="29"/>
      <c r="K27" s="2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E3" sqref="E3:E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9" customWidth="1"/>
    <col min="12" max="16384" width="9.1796875" style="29"/>
  </cols>
  <sheetData>
    <row r="1" spans="1:13" x14ac:dyDescent="0.35">
      <c r="A1" s="40" t="str">
        <f>'Fixed rate bond (Values)'!A1</f>
        <v>25 August 2023</v>
      </c>
    </row>
    <row r="2" spans="1:13" x14ac:dyDescent="0.35">
      <c r="A2" s="17"/>
      <c r="B2" s="18" t="s">
        <v>40</v>
      </c>
      <c r="C2" s="18" t="s">
        <v>77</v>
      </c>
      <c r="D2" s="58" t="s">
        <v>81</v>
      </c>
      <c r="E2" s="58" t="s">
        <v>72</v>
      </c>
      <c r="K2" s="15"/>
      <c r="L2" s="15"/>
    </row>
    <row r="3" spans="1:13" x14ac:dyDescent="0.35">
      <c r="B3" s="18" t="s">
        <v>53</v>
      </c>
      <c r="C3" s="52">
        <v>544814011</v>
      </c>
      <c r="D3" s="51">
        <v>0</v>
      </c>
      <c r="E3" s="61">
        <f>SUM(C3:D3)</f>
        <v>544814011</v>
      </c>
      <c r="K3" s="15"/>
      <c r="L3" s="15"/>
      <c r="M3" s="55"/>
    </row>
    <row r="4" spans="1:13" x14ac:dyDescent="0.35">
      <c r="B4" s="18" t="s">
        <v>73</v>
      </c>
      <c r="C4" s="52">
        <v>51260400000</v>
      </c>
      <c r="D4" s="51">
        <v>14461600000</v>
      </c>
      <c r="E4" s="61">
        <f t="shared" ref="E4:E11" si="0">SUM(C4:D4)</f>
        <v>65722000000</v>
      </c>
      <c r="K4" s="15"/>
      <c r="L4" s="15"/>
      <c r="M4" s="55"/>
    </row>
    <row r="5" spans="1:13" x14ac:dyDescent="0.35">
      <c r="B5" s="18" t="s">
        <v>54</v>
      </c>
      <c r="C5" s="52">
        <v>149350000</v>
      </c>
      <c r="D5" s="51">
        <v>284000000</v>
      </c>
      <c r="E5" s="61">
        <f t="shared" si="0"/>
        <v>433350000</v>
      </c>
      <c r="K5" s="15"/>
      <c r="L5" s="15"/>
      <c r="M5" s="55"/>
    </row>
    <row r="6" spans="1:13" x14ac:dyDescent="0.35">
      <c r="B6" s="18" t="s">
        <v>55</v>
      </c>
      <c r="C6" s="52">
        <v>1203500000</v>
      </c>
      <c r="D6" s="51">
        <v>8000000</v>
      </c>
      <c r="E6" s="61">
        <f t="shared" si="0"/>
        <v>1211500000</v>
      </c>
      <c r="K6" s="15"/>
      <c r="L6" s="15"/>
      <c r="M6" s="55"/>
    </row>
    <row r="7" spans="1:13" x14ac:dyDescent="0.35">
      <c r="B7" s="18" t="s">
        <v>56</v>
      </c>
      <c r="C7" s="52">
        <v>147700000</v>
      </c>
      <c r="D7" s="51">
        <v>0</v>
      </c>
      <c r="E7" s="61">
        <f t="shared" si="0"/>
        <v>147700000</v>
      </c>
      <c r="K7" s="15"/>
      <c r="L7" s="15"/>
      <c r="M7" s="55"/>
    </row>
    <row r="8" spans="1:13" x14ac:dyDescent="0.35">
      <c r="B8" s="18" t="s">
        <v>57</v>
      </c>
      <c r="C8" s="52">
        <v>650000</v>
      </c>
      <c r="D8" s="51">
        <v>0</v>
      </c>
      <c r="E8" s="61">
        <f t="shared" si="0"/>
        <v>650000</v>
      </c>
      <c r="K8" s="15"/>
      <c r="L8" s="15"/>
      <c r="M8" s="55"/>
    </row>
    <row r="9" spans="1:13" x14ac:dyDescent="0.35">
      <c r="B9" s="18" t="s">
        <v>5</v>
      </c>
      <c r="C9" s="52">
        <v>8048087386</v>
      </c>
      <c r="D9" s="51">
        <v>4264400000</v>
      </c>
      <c r="E9" s="61">
        <f t="shared" si="0"/>
        <v>12312487386</v>
      </c>
      <c r="K9" s="15"/>
      <c r="L9" s="15"/>
      <c r="M9" s="55"/>
    </row>
    <row r="10" spans="1:13" x14ac:dyDescent="0.35">
      <c r="B10" s="18" t="s">
        <v>58</v>
      </c>
      <c r="C10" s="52">
        <v>165498603</v>
      </c>
      <c r="D10" s="51">
        <v>12000000</v>
      </c>
      <c r="E10" s="61">
        <f t="shared" si="0"/>
        <v>177498603</v>
      </c>
      <c r="K10" s="15"/>
      <c r="L10" s="15"/>
      <c r="M10" s="55"/>
    </row>
    <row r="11" spans="1:13" x14ac:dyDescent="0.35">
      <c r="B11" s="19" t="s">
        <v>59</v>
      </c>
      <c r="C11" s="53">
        <v>0</v>
      </c>
      <c r="D11" s="51">
        <v>0</v>
      </c>
      <c r="E11" s="61">
        <f t="shared" si="0"/>
        <v>0</v>
      </c>
      <c r="K11" s="15"/>
      <c r="L11" s="15"/>
      <c r="M11" s="55"/>
    </row>
    <row r="12" spans="1:13" x14ac:dyDescent="0.35">
      <c r="B12" s="19"/>
      <c r="C12" s="20">
        <f>SUM(C3:C11)</f>
        <v>61520000000</v>
      </c>
      <c r="D12" s="20">
        <f t="shared" ref="D12:E12" si="1">SUM(D3:D11)</f>
        <v>19030000000</v>
      </c>
      <c r="E12" s="20">
        <f t="shared" si="1"/>
        <v>80550000000</v>
      </c>
      <c r="F12" s="26"/>
      <c r="K12" s="15"/>
      <c r="L12" s="15"/>
    </row>
    <row r="13" spans="1:13" x14ac:dyDescent="0.35">
      <c r="C13" s="31"/>
      <c r="D13" s="31"/>
      <c r="K13" s="15"/>
      <c r="L13" s="15"/>
    </row>
    <row r="17" spans="2:10" x14ac:dyDescent="0.35">
      <c r="B17" s="29"/>
      <c r="C17" s="29"/>
      <c r="D17" s="29"/>
      <c r="E17" s="29"/>
      <c r="F17" s="29"/>
      <c r="G17" s="29"/>
      <c r="H17" s="29"/>
      <c r="I17" s="29"/>
      <c r="J17" s="29"/>
    </row>
    <row r="18" spans="2:10" x14ac:dyDescent="0.35">
      <c r="B18" s="29"/>
      <c r="C18" s="29"/>
      <c r="D18" s="29"/>
      <c r="E18" s="29"/>
      <c r="F18" s="29"/>
      <c r="G18" s="29"/>
      <c r="H18" s="29"/>
      <c r="I18" s="29"/>
      <c r="J18" s="29"/>
    </row>
    <row r="19" spans="2:10" x14ac:dyDescent="0.35">
      <c r="B19" s="29"/>
      <c r="C19" s="29"/>
      <c r="D19" s="29"/>
      <c r="E19" s="29"/>
      <c r="F19" s="29"/>
      <c r="G19" s="29"/>
      <c r="H19" s="29"/>
      <c r="I19" s="29"/>
      <c r="J19" s="29"/>
    </row>
    <row r="20" spans="2:10" x14ac:dyDescent="0.35">
      <c r="B20" s="29"/>
      <c r="C20" s="29"/>
      <c r="D20" s="29"/>
      <c r="E20" s="29"/>
      <c r="F20" s="29"/>
      <c r="G20" s="29"/>
      <c r="H20" s="29"/>
      <c r="I20" s="29"/>
      <c r="J20" s="29"/>
    </row>
    <row r="21" spans="2:10" x14ac:dyDescent="0.35">
      <c r="B21" s="29"/>
      <c r="C21" s="29"/>
      <c r="D21" s="29"/>
      <c r="E21" s="29"/>
      <c r="F21" s="29"/>
      <c r="G21" s="29"/>
      <c r="H21" s="29"/>
      <c r="I21" s="29"/>
      <c r="J21" s="29"/>
    </row>
    <row r="22" spans="2:10" x14ac:dyDescent="0.35">
      <c r="B22" s="29"/>
      <c r="C22" s="29"/>
      <c r="D22" s="29"/>
      <c r="E22" s="29"/>
      <c r="F22" s="29"/>
      <c r="G22" s="29"/>
      <c r="H22" s="29"/>
      <c r="I22" s="29"/>
      <c r="J22" s="29"/>
    </row>
    <row r="23" spans="2:10" x14ac:dyDescent="0.35">
      <c r="B23" s="29"/>
      <c r="C23" s="29"/>
      <c r="D23" s="29"/>
      <c r="E23" s="29"/>
      <c r="F23" s="29"/>
      <c r="G23" s="29"/>
      <c r="H23" s="29"/>
      <c r="I23" s="29"/>
      <c r="J23" s="29"/>
    </row>
    <row r="24" spans="2:10" x14ac:dyDescent="0.35">
      <c r="B24" s="29"/>
      <c r="C24" s="29"/>
      <c r="D24" s="29"/>
      <c r="E24" s="29"/>
      <c r="F24" s="29"/>
      <c r="G24" s="29"/>
      <c r="H24" s="29"/>
      <c r="I24" s="29"/>
      <c r="J24" s="29"/>
    </row>
    <row r="25" spans="2:10" x14ac:dyDescent="0.35">
      <c r="B25" s="29"/>
      <c r="C25" s="29"/>
      <c r="D25" s="29"/>
      <c r="E25" s="29"/>
      <c r="F25" s="29"/>
      <c r="G25" s="29"/>
      <c r="H25" s="29"/>
      <c r="I25" s="29"/>
      <c r="J25" s="29"/>
    </row>
    <row r="26" spans="2:10" x14ac:dyDescent="0.35">
      <c r="B26" s="29"/>
      <c r="C26" s="29"/>
      <c r="D26" s="29"/>
      <c r="E26" s="29"/>
      <c r="F26" s="29"/>
      <c r="G26" s="29"/>
      <c r="H26" s="29"/>
      <c r="I26" s="29"/>
      <c r="J26" s="29"/>
    </row>
    <row r="27" spans="2:10" x14ac:dyDescent="0.35">
      <c r="B27" s="29"/>
      <c r="C27" s="29"/>
      <c r="D27" s="29"/>
      <c r="E27" s="29"/>
      <c r="F27" s="29"/>
      <c r="G27" s="29"/>
      <c r="H27" s="29"/>
      <c r="I27" s="29"/>
      <c r="J27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G13" sqref="G13"/>
    </sheetView>
  </sheetViews>
  <sheetFormatPr defaultRowHeight="12.5" x14ac:dyDescent="0.25"/>
  <cols>
    <col min="1" max="1" width="12.179687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40" t="str">
        <f>'Fixed rate bond (Values)'!A1</f>
        <v>25 August 2023</v>
      </c>
    </row>
    <row r="3" spans="1:5" ht="13" x14ac:dyDescent="0.3">
      <c r="B3" s="18" t="s">
        <v>40</v>
      </c>
      <c r="C3" s="22" t="s">
        <v>77</v>
      </c>
      <c r="D3" s="44" t="s">
        <v>81</v>
      </c>
      <c r="E3" s="44" t="s">
        <v>72</v>
      </c>
    </row>
    <row r="4" spans="1:5" ht="13" x14ac:dyDescent="0.3">
      <c r="B4" s="18" t="s">
        <v>53</v>
      </c>
      <c r="C4" s="54">
        <v>8.8558844440832247E-3</v>
      </c>
      <c r="D4" s="54">
        <v>0</v>
      </c>
      <c r="E4" s="54">
        <v>6.7636748727498445E-3</v>
      </c>
    </row>
    <row r="5" spans="1:5" ht="13" x14ac:dyDescent="0.3">
      <c r="B5" s="18" t="s">
        <v>73</v>
      </c>
      <c r="C5" s="54">
        <v>0.83323146944083226</v>
      </c>
      <c r="D5" s="54">
        <v>0.75993694167104575</v>
      </c>
      <c r="E5" s="54">
        <v>0.81591558038485412</v>
      </c>
    </row>
    <row r="6" spans="1:5" ht="13" x14ac:dyDescent="0.3">
      <c r="B6" s="18" t="s">
        <v>54</v>
      </c>
      <c r="C6" s="54">
        <v>2.4276657997399221E-3</v>
      </c>
      <c r="D6" s="54">
        <v>1.4923804519180241E-2</v>
      </c>
      <c r="E6" s="54">
        <v>5.3798882681564244E-3</v>
      </c>
    </row>
    <row r="7" spans="1:5" ht="13" x14ac:dyDescent="0.3">
      <c r="B7" s="18" t="s">
        <v>55</v>
      </c>
      <c r="C7" s="54">
        <v>1.9562743823146943E-2</v>
      </c>
      <c r="D7" s="54">
        <v>4.2038885969521806E-4</v>
      </c>
      <c r="E7" s="54">
        <v>1.5040347610180013E-2</v>
      </c>
    </row>
    <row r="8" spans="1:5" ht="13" x14ac:dyDescent="0.3">
      <c r="B8" s="18" t="s">
        <v>56</v>
      </c>
      <c r="C8" s="54">
        <v>2.4008452535760729E-3</v>
      </c>
      <c r="D8" s="54">
        <v>0</v>
      </c>
      <c r="E8" s="54">
        <v>1.8336436995654872E-3</v>
      </c>
    </row>
    <row r="9" spans="1:5" ht="13" x14ac:dyDescent="0.3">
      <c r="B9" s="18" t="s">
        <v>57</v>
      </c>
      <c r="C9" s="54">
        <v>1.0565669700910273E-5</v>
      </c>
      <c r="D9" s="54">
        <v>0</v>
      </c>
      <c r="E9" s="54">
        <v>8.069522036002483E-6</v>
      </c>
    </row>
    <row r="10" spans="1:5" ht="13" x14ac:dyDescent="0.3">
      <c r="B10" s="18" t="s">
        <v>5</v>
      </c>
      <c r="C10" s="54">
        <v>0.13082066622236671</v>
      </c>
      <c r="D10" s="54">
        <v>0.22408828166053599</v>
      </c>
      <c r="E10" s="54">
        <v>0.15285521273743016</v>
      </c>
    </row>
    <row r="11" spans="1:5" ht="13" x14ac:dyDescent="0.3">
      <c r="B11" s="18" t="s">
        <v>58</v>
      </c>
      <c r="C11" s="54">
        <v>2.6901593465539662E-3</v>
      </c>
      <c r="D11" s="54">
        <v>6.305832895428271E-4</v>
      </c>
      <c r="E11" s="54">
        <v>2.2035829050279332E-3</v>
      </c>
    </row>
    <row r="12" spans="1:5" ht="13" x14ac:dyDescent="0.3">
      <c r="B12" s="18" t="s">
        <v>59</v>
      </c>
      <c r="C12" s="54">
        <v>0</v>
      </c>
      <c r="D12" s="54">
        <v>0</v>
      </c>
      <c r="E12" s="54">
        <v>0</v>
      </c>
    </row>
    <row r="13" spans="1:5" ht="13" x14ac:dyDescent="0.3">
      <c r="B13" s="23"/>
      <c r="C13" s="21">
        <f>SUM(C4:C12)</f>
        <v>1.0000000000000002</v>
      </c>
      <c r="D13" s="21">
        <f t="shared" ref="D13:E13" si="0">SUM(D4:D12)</f>
        <v>1</v>
      </c>
      <c r="E13" s="21">
        <f t="shared" si="0"/>
        <v>1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Herold Maboa</dc:creator>
  <cp:lastModifiedBy>Zine Mbatha</cp:lastModifiedBy>
  <dcterms:created xsi:type="dcterms:W3CDTF">2016-03-09T09:54:02Z</dcterms:created>
  <dcterms:modified xsi:type="dcterms:W3CDTF">2023-08-28T14:10:27Z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