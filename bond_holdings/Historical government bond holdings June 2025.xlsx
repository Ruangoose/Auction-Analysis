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atreasury-my.sharepoint.com/personal/david_milne_treasury_gov_za/Documents/HDrive/DIM online/Investor Relations Website/Holdings/2025/June/"/>
    </mc:Choice>
  </mc:AlternateContent>
  <xr:revisionPtr revIDLastSave="4" documentId="8_{CAF76155-DADB-4185-AB51-E71400EF6D4A}" xr6:coauthVersionLast="47" xr6:coauthVersionMax="47" xr10:uidLastSave="{1312174F-EF2D-44E8-A941-850CD7EE27DA}"/>
  <bookViews>
    <workbookView xWindow="-38520" yWindow="795" windowWidth="38640" windowHeight="21120" activeTab="1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A1" i="5"/>
  <c r="A1" i="6"/>
  <c r="A1" i="7"/>
  <c r="A1" i="8" s="1"/>
  <c r="A1" i="9" s="1"/>
  <c r="A1" i="3"/>
</calcChain>
</file>

<file path=xl/sharedStrings.xml><?xml version="1.0" encoding="utf-8"?>
<sst xmlns="http://schemas.openxmlformats.org/spreadsheetml/2006/main" count="348" uniqueCount="93">
  <si>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</si>
  <si>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</si>
  <si>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</si>
  <si>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</si>
  <si>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</si>
  <si>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</si>
  <si>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</si>
  <si>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</si>
  <si>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</si>
  <si>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</si>
  <si>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</si>
  <si>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</si>
  <si>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</si>
  <si>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</si>
  <si>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</si>
  <si>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</si>
  <si>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</si>
  <si>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</si>
  <si>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</si>
  <si>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</si>
  <si>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</si>
  <si>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</si>
  <si>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</si>
  <si>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</si>
  <si>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</si>
  <si>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</si>
  <si>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</si>
  <si>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</si>
  <si>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</si>
  <si>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</si>
  <si>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</si>
  <si>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</si>
  <si>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</si>
  <si>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</si>
  <si>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</si>
  <si>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</si>
  <si>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</si>
  <si>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</si>
  <si>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</si>
  <si>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</si>
  <si>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</si>
  <si>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</si>
  <si>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</si>
  <si>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</si>
  <si>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</si>
  <si>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</si>
  <si>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</si>
  <si>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</si>
  <si>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</si>
  <si>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</si>
  <si>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</si>
  <si>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</si>
  <si>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</si>
  <si>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</si>
  <si>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</si>
  <si>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</si>
  <si>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</si>
  <si>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</si>
  <si>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</si>
  <si>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</si>
  <si>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</si>
  <si>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</si>
  <si>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</si>
  <si>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</si>
  <si>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</si>
  <si>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</si>
  <si>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</si>
  <si>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</si>
  <si>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</si>
  <si>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</si>
  <si>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</si>
  <si>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</si>
  <si>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</si>
  <si>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</si>
  <si>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</si>
  <si>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</si>
  <si>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</si>
  <si>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</si>
  <si>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</si>
  <si>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</si>
  <si>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</si>
  <si>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</si>
  <si>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</si>
  <si>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</si>
  <si>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</si>
  <si>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</si>
  <si>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</si>
  <si>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</si>
  <si>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R2033 (2033)</t>
  </si>
  <si>
    <t>R2038 (2038)</t>
  </si>
  <si>
    <t>2025</t>
  </si>
  <si>
    <t>RN2032 (2032)</t>
  </si>
  <si>
    <t>27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</si>
</sst>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&quot;R&quot;\ #,##0;[Red]&quot;R&quot;\ \-#,##0"/>
    <numFmt numFmtId="166" formatCode="_ * #,##0.00_ ;_ * \-#,##0.00_ ;_ * &quot;-&quot;??_ ;_ @_ "/>
    <numFmt numFmtId="167" formatCode="0.0%"/>
    <numFmt numFmtId="168" formatCode="_ * #,##0_ ;_ * \-#,##0_ ;_ * &quot;-&quot;??_ ;_ @_ "/>
    <numFmt numFmtId="169" formatCode="0.0"/>
    <numFmt numFmtId="170" formatCode="_([$€-2]\ * #,##0.00_);_([$€-2]\ * \(#,##0.00\);_([$€-2]\ * &quot;-&quot;??_)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6" fontId="4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4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0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31" fillId="0" borderId="0"/>
    <xf numFmtId="43" fontId="23" fillId="0" borderId="0" applyFont="0" applyFill="0" applyBorder="0" applyAlignment="0" applyProtection="0"/>
  </cellStyleXfs>
  <cellXfs count="75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7" fontId="2" fillId="24" borderId="0" xfId="0" applyNumberFormat="1" applyFont="1" applyFill="1" applyAlignment="1">
      <alignment horizontal="center"/>
    </xf>
    <xf numFmtId="167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7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7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8" fontId="3" fillId="0" borderId="10" xfId="55" applyNumberFormat="1" applyFont="1" applyBorder="1"/>
    <xf numFmtId="9" fontId="3" fillId="0" borderId="10" xfId="55" applyNumberFormat="1" applyFont="1" applyBorder="1"/>
    <xf numFmtId="165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7" fontId="0" fillId="0" borderId="0" xfId="0" applyNumberFormat="1"/>
    <xf numFmtId="168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8" fontId="3" fillId="0" borderId="10" xfId="31" applyNumberFormat="1" applyFont="1" applyBorder="1" applyAlignment="1">
      <alignment horizontal="center"/>
    </xf>
    <xf numFmtId="0" fontId="4" fillId="0" borderId="0" xfId="54"/>
    <xf numFmtId="168" fontId="3" fillId="0" borderId="11" xfId="55" applyNumberFormat="1" applyFont="1" applyBorder="1"/>
    <xf numFmtId="168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9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5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8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9" fontId="27" fillId="0" borderId="0" xfId="0" applyNumberFormat="1" applyFont="1"/>
    <xf numFmtId="168" fontId="0" fillId="0" borderId="0" xfId="0" applyNumberFormat="1"/>
    <xf numFmtId="10" fontId="0" fillId="0" borderId="0" xfId="0" applyNumberFormat="1"/>
    <xf numFmtId="168" fontId="3" fillId="0" borderId="10" xfId="31" applyNumberFormat="1" applyFont="1" applyBorder="1"/>
    <xf numFmtId="168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168" fontId="2" fillId="0" borderId="10" xfId="31" applyNumberFormat="1" applyBorder="1"/>
    <xf numFmtId="168" fontId="2" fillId="0" borderId="10" xfId="55" applyNumberFormat="1" applyBorder="1"/>
    <xf numFmtId="9" fontId="2" fillId="0" borderId="19" xfId="67" applyBorder="1"/>
    <xf numFmtId="9" fontId="2" fillId="0" borderId="11" xfId="67" applyBorder="1"/>
    <xf numFmtId="9" fontId="2" fillId="0" borderId="10" xfId="67" applyBorder="1"/>
    <xf numFmtId="9" fontId="2" fillId="0" borderId="22" xfId="67" applyBorder="1"/>
    <xf numFmtId="9" fontId="2" fillId="0" borderId="23" xfId="67" applyBorder="1"/>
    <xf numFmtId="0" fontId="2" fillId="24" borderId="20" xfId="0" applyFont="1" applyFill="1" applyBorder="1" applyAlignment="1">
      <alignment horizontal="center"/>
    </xf>
    <xf numFmtId="43" fontId="2" fillId="0" borderId="0" xfId="75" applyFont="1"/>
    <xf numFmtId="43" fontId="0" fillId="0" borderId="0" xfId="75" applyFont="1"/>
    <xf numFmtId="43" fontId="2" fillId="0" borderId="0" xfId="55" applyNumberFormat="1"/>
  </cellXfs>
  <cellStyles count="7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75" builtinId="3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rmal 7" xfId="74" xr:uid="{C78E3923-4C18-44BF-8A34-1EFDDAFDED99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7"/>
  <sheetViews>
    <sheetView workbookViewId="0">
      <pane ySplit="1" topLeftCell="A163" activePane="bottomLeft" state="frozen"/>
      <selection pane="bottomLeft" activeCell="A179" sqref="A179"/>
    </sheetView>
  </sheetViews>
  <sheetFormatPr defaultRowHeight="14.5" x14ac:dyDescent="0.35"/>
  <cols>
    <col min="1" max="1" width="10.1796875" style="59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7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57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57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57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57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58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58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58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58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0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1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56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56" t="s">
        <v>67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2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2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2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55" t="s">
        <v>68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55" t="s">
        <v>69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55" t="s">
        <v>72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55" t="s">
        <v>73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55" t="s">
        <v>74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2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55" t="s">
        <v>76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55" t="s">
        <v>83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1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1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1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1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1:8" x14ac:dyDescent="0.35">
      <c r="B165" s="5" t="s">
        <v>34</v>
      </c>
      <c r="C165" s="6">
        <v>0.24818154464396691</v>
      </c>
      <c r="D165" s="6">
        <v>0.20114104221205067</v>
      </c>
      <c r="E165" s="6">
        <v>7.4495801467959602E-2</v>
      </c>
      <c r="F165" s="6">
        <v>0.23065953592596566</v>
      </c>
      <c r="G165" s="6">
        <v>0.23022373451781308</v>
      </c>
      <c r="H165" s="6">
        <v>1.5298341232243988E-2</v>
      </c>
    </row>
    <row r="166" spans="1:8" x14ac:dyDescent="0.35">
      <c r="B166" s="5" t="s">
        <v>27</v>
      </c>
      <c r="C166" s="6">
        <v>0.2500493212999475</v>
      </c>
      <c r="D166" s="6">
        <v>0.19924229843462044</v>
      </c>
      <c r="E166" s="6">
        <v>7.4595453732788891E-2</v>
      </c>
      <c r="F166" s="6">
        <v>0.22734275499351828</v>
      </c>
      <c r="G166" s="6">
        <v>0.2334918912302438</v>
      </c>
      <c r="H166" s="6">
        <v>1.5278280308881167E-2</v>
      </c>
    </row>
    <row r="167" spans="1:8" x14ac:dyDescent="0.35">
      <c r="B167" s="5" t="s">
        <v>37</v>
      </c>
      <c r="C167" s="6">
        <v>0.24618620573559191</v>
      </c>
      <c r="D167" s="6">
        <v>0.19867647965841123</v>
      </c>
      <c r="E167" s="6">
        <v>7.8348876208802806E-2</v>
      </c>
      <c r="F167" s="6">
        <v>0.23147227021750336</v>
      </c>
      <c r="G167" s="6">
        <v>0.23085516293892402</v>
      </c>
      <c r="H167" s="6">
        <v>1.4461005240766682E-2</v>
      </c>
    </row>
    <row r="168" spans="1:8" x14ac:dyDescent="0.35">
      <c r="B168" s="5" t="s">
        <v>29</v>
      </c>
      <c r="C168" s="6">
        <v>0.25037128364123729</v>
      </c>
      <c r="D168" s="6">
        <v>0.20034205818621054</v>
      </c>
      <c r="E168" s="6">
        <v>8.0579943891551736E-2</v>
      </c>
      <c r="F168" s="6">
        <v>0.23070432288066625</v>
      </c>
      <c r="G168" s="6">
        <v>0.22424952945175494</v>
      </c>
      <c r="H168" s="6">
        <v>1.3752861948579222E-2</v>
      </c>
    </row>
    <row r="169" spans="1:8" x14ac:dyDescent="0.35">
      <c r="B169" s="5" t="s">
        <v>30</v>
      </c>
      <c r="C169" s="6">
        <v>0.24999274325944326</v>
      </c>
      <c r="D169" s="6">
        <v>0.19572173663282363</v>
      </c>
      <c r="E169" s="6">
        <v>7.7960125944097264E-2</v>
      </c>
      <c r="F169" s="6">
        <v>0.23100581321685312</v>
      </c>
      <c r="G169" s="6">
        <v>0.22939973019979987</v>
      </c>
      <c r="H169" s="6">
        <v>1.5919850746982839E-2</v>
      </c>
    </row>
    <row r="170" spans="1:8" x14ac:dyDescent="0.35">
      <c r="B170" s="5" t="s">
        <v>35</v>
      </c>
      <c r="C170" s="6">
        <v>0.24163239907462344</v>
      </c>
      <c r="D170" s="6">
        <v>0.20128716229079655</v>
      </c>
      <c r="E170" s="6">
        <v>7.6591300295050846E-2</v>
      </c>
      <c r="F170" s="6">
        <v>0.22550706515491151</v>
      </c>
      <c r="G170" s="6">
        <v>0.24092997176822153</v>
      </c>
      <c r="H170" s="6">
        <v>1.4052101416396073E-2</v>
      </c>
    </row>
    <row r="171" spans="1:8" x14ac:dyDescent="0.35">
      <c r="B171" s="5" t="s">
        <v>31</v>
      </c>
      <c r="C171" s="6">
        <v>0.24604818462186465</v>
      </c>
      <c r="D171" s="6">
        <v>0.20823918885408249</v>
      </c>
      <c r="E171" s="6">
        <v>7.5166746315316599E-2</v>
      </c>
      <c r="F171" s="6">
        <v>0.22557576029681733</v>
      </c>
      <c r="G171" s="6">
        <v>0.23270506798505966</v>
      </c>
      <c r="H171" s="6">
        <v>1.226505192685926E-2</v>
      </c>
    </row>
    <row r="172" spans="1:8" x14ac:dyDescent="0.35">
      <c r="A172" s="55" t="s">
        <v>90</v>
      </c>
      <c r="B172" s="14" t="s">
        <v>39</v>
      </c>
      <c r="C172" s="9">
        <v>0.2470125184059844</v>
      </c>
      <c r="D172" s="9">
        <v>0.20699893827494958</v>
      </c>
      <c r="E172" s="9">
        <v>7.7243474489960329E-2</v>
      </c>
      <c r="F172" s="9">
        <v>0.22615384302323935</v>
      </c>
      <c r="G172" s="9">
        <v>0.23026693038894089</v>
      </c>
      <c r="H172" s="9">
        <v>1.2324295416925424E-2</v>
      </c>
    </row>
    <row r="173" spans="1:8" x14ac:dyDescent="0.35">
      <c r="B173" s="5" t="s">
        <v>33</v>
      </c>
      <c r="C173" s="6">
        <v>0.24882917300870791</v>
      </c>
      <c r="D173" s="6">
        <v>0.21349703181359758</v>
      </c>
      <c r="E173" s="6">
        <v>7.7325684259202845E-2</v>
      </c>
      <c r="F173" s="6">
        <v>0.22795156463244262</v>
      </c>
      <c r="G173" s="6">
        <v>0.21995464735706677</v>
      </c>
      <c r="H173" s="6">
        <v>1.244189892898223E-2</v>
      </c>
    </row>
    <row r="174" spans="1:8" x14ac:dyDescent="0.35">
      <c r="B174" s="5" t="s">
        <v>25</v>
      </c>
      <c r="C174" s="6">
        <v>0.24967919710360006</v>
      </c>
      <c r="D174" s="6">
        <v>0.20907337375814286</v>
      </c>
      <c r="E174" s="6">
        <v>7.4513025232185226E-2</v>
      </c>
      <c r="F174" s="6">
        <v>0.22662729818045299</v>
      </c>
      <c r="G174" s="6">
        <v>0.22744254956886656</v>
      </c>
      <c r="H174" s="6">
        <v>1.2664556156752263E-2</v>
      </c>
    </row>
    <row r="175" spans="1:8" x14ac:dyDescent="0.35">
      <c r="B175" s="5" t="s">
        <v>26</v>
      </c>
      <c r="C175" s="6">
        <v>0.24815537147471178</v>
      </c>
      <c r="D175" s="6">
        <v>0.20809436744644191</v>
      </c>
      <c r="E175" s="6">
        <v>7.3592781641961022E-2</v>
      </c>
      <c r="F175" s="6">
        <v>0.22641543582422868</v>
      </c>
      <c r="G175" s="6">
        <v>0.23080133851982673</v>
      </c>
      <c r="H175" s="6">
        <v>1.2940705092829814E-2</v>
      </c>
    </row>
    <row r="176" spans="1:8" x14ac:dyDescent="0.35">
      <c r="B176" s="5" t="s">
        <v>15</v>
      </c>
      <c r="C176" s="6">
        <v>0.24476606255862204</v>
      </c>
      <c r="D176" s="6">
        <v>0.21511751584674363</v>
      </c>
      <c r="E176" s="6">
        <v>7.5198683052154061E-2</v>
      </c>
      <c r="F176" s="6">
        <v>0.22535460579310077</v>
      </c>
      <c r="G176" s="6">
        <v>0.22658465060602445</v>
      </c>
      <c r="H176" s="6">
        <v>1.297848214335507E-2</v>
      </c>
    </row>
    <row r="177" spans="2:8" x14ac:dyDescent="0.35">
      <c r="B177" s="5" t="s">
        <v>34</v>
      </c>
      <c r="C177" s="6">
        <v>0.25074492506486762</v>
      </c>
      <c r="D177" s="6">
        <v>0.2151969663295947</v>
      </c>
      <c r="E177" s="6">
        <v>7.508559814965024E-2</v>
      </c>
      <c r="F177" s="6">
        <v>0.22149054138815949</v>
      </c>
      <c r="G177" s="6">
        <v>0.22453714027405225</v>
      </c>
      <c r="H177" s="6">
        <v>1.2944828793675695E-2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 A1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tabSelected="1" zoomScaleNormal="100" workbookViewId="0">
      <selection activeCell="G20" sqref="G20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6" width="19.54296875" style="15" bestFit="1" customWidth="1"/>
    <col min="7" max="7" width="18.26953125" style="15" bestFit="1" customWidth="1"/>
    <col min="8" max="8" width="16.1796875" style="15" customWidth="1"/>
    <col min="9" max="10" width="19.54296875" style="15" bestFit="1" customWidth="1"/>
    <col min="11" max="11" width="18.26953125" style="15" bestFit="1" customWidth="1"/>
    <col min="12" max="12" width="19.54296875" style="15" bestFit="1" customWidth="1"/>
    <col min="13" max="13" width="18.26953125" style="15" bestFit="1" customWidth="1"/>
    <col min="14" max="14" width="19.54296875" style="15" bestFit="1" customWidth="1"/>
    <col min="15" max="15" width="20.6328125" style="15" bestFit="1" customWidth="1"/>
    <col min="16" max="16" width="18.26953125" bestFit="1" customWidth="1"/>
    <col min="17" max="17" width="21.08984375" bestFit="1" customWidth="1"/>
    <col min="18" max="18" width="20.54296875" bestFit="1" customWidth="1"/>
  </cols>
  <sheetData>
    <row r="1" spans="1:18" x14ac:dyDescent="0.35">
      <c r="A1" s="39" t="s">
        <v>92</v>
      </c>
    </row>
    <row r="2" spans="1:18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88</v>
      </c>
      <c r="H2" s="41" t="s">
        <v>45</v>
      </c>
      <c r="I2" s="41" t="s">
        <v>46</v>
      </c>
      <c r="J2" s="41" t="s">
        <v>47</v>
      </c>
      <c r="K2" s="41" t="s">
        <v>89</v>
      </c>
      <c r="L2" s="41" t="s">
        <v>48</v>
      </c>
      <c r="M2" s="41" t="s">
        <v>49</v>
      </c>
      <c r="N2" s="31" t="s">
        <v>50</v>
      </c>
      <c r="O2" s="31" t="s">
        <v>51</v>
      </c>
      <c r="P2" s="31" t="s">
        <v>77</v>
      </c>
      <c r="Q2" s="53" t="s">
        <v>52</v>
      </c>
    </row>
    <row r="3" spans="1:18" x14ac:dyDescent="0.35">
      <c r="B3" s="18" t="s">
        <v>53</v>
      </c>
      <c r="C3" s="64">
        <v>94706399589.949997</v>
      </c>
      <c r="D3" s="64">
        <v>86910615571.48999</v>
      </c>
      <c r="E3" s="64">
        <v>71658642935</v>
      </c>
      <c r="F3" s="64">
        <v>73860410582</v>
      </c>
      <c r="G3" s="64">
        <v>6510403612</v>
      </c>
      <c r="H3" s="64">
        <v>155125618693</v>
      </c>
      <c r="I3" s="64">
        <v>39449706713.32</v>
      </c>
      <c r="J3" s="64">
        <v>106335649035</v>
      </c>
      <c r="K3" s="64">
        <v>7705775948</v>
      </c>
      <c r="L3" s="64">
        <v>113378380365</v>
      </c>
      <c r="M3" s="64">
        <v>48604651510</v>
      </c>
      <c r="N3" s="64">
        <v>90006902303</v>
      </c>
      <c r="O3" s="64">
        <v>94285229902</v>
      </c>
      <c r="P3" s="64">
        <v>20560767473</v>
      </c>
      <c r="Q3" s="54">
        <v>1009099154232.76</v>
      </c>
      <c r="R3" s="51"/>
    </row>
    <row r="4" spans="1:18" x14ac:dyDescent="0.35">
      <c r="B4" s="18" t="s">
        <v>71</v>
      </c>
      <c r="C4" s="64">
        <v>105797146847.64999</v>
      </c>
      <c r="D4" s="64">
        <v>96680667079.529999</v>
      </c>
      <c r="E4" s="64">
        <v>53755708644</v>
      </c>
      <c r="F4" s="64">
        <v>88829350799.199997</v>
      </c>
      <c r="G4" s="64">
        <v>11173825198</v>
      </c>
      <c r="H4" s="64">
        <v>45559342625.800003</v>
      </c>
      <c r="I4" s="64">
        <v>15151744413</v>
      </c>
      <c r="J4" s="64">
        <v>49195271947.690002</v>
      </c>
      <c r="K4" s="64">
        <v>10177424261</v>
      </c>
      <c r="L4" s="64">
        <v>29115563245</v>
      </c>
      <c r="M4" s="64">
        <v>10142557103</v>
      </c>
      <c r="N4" s="64">
        <v>37892995019.099998</v>
      </c>
      <c r="O4" s="64">
        <v>137400786373.58</v>
      </c>
      <c r="P4" s="64">
        <v>11428244068</v>
      </c>
      <c r="Q4" s="54">
        <v>702300627624.54993</v>
      </c>
    </row>
    <row r="5" spans="1:18" x14ac:dyDescent="0.35">
      <c r="B5" s="18" t="s">
        <v>54</v>
      </c>
      <c r="C5" s="64">
        <v>15307709056.9</v>
      </c>
      <c r="D5" s="64">
        <v>20195600005</v>
      </c>
      <c r="E5" s="64">
        <v>11109224296</v>
      </c>
      <c r="F5" s="64">
        <v>12047432980</v>
      </c>
      <c r="G5" s="64">
        <v>766278766</v>
      </c>
      <c r="H5" s="64">
        <v>14301378623</v>
      </c>
      <c r="I5" s="64">
        <v>7569981575</v>
      </c>
      <c r="J5" s="64">
        <v>19831650711.75</v>
      </c>
      <c r="K5" s="64">
        <v>3223885879</v>
      </c>
      <c r="L5" s="64">
        <v>23791860244</v>
      </c>
      <c r="M5" s="64">
        <v>9380305469</v>
      </c>
      <c r="N5" s="64">
        <v>29247274927</v>
      </c>
      <c r="O5" s="64">
        <v>34404641255</v>
      </c>
      <c r="P5" s="64">
        <v>20088604338</v>
      </c>
      <c r="Q5" s="54">
        <v>221265828125.64999</v>
      </c>
    </row>
    <row r="6" spans="1:18" x14ac:dyDescent="0.35">
      <c r="B6" s="18" t="s">
        <v>55</v>
      </c>
      <c r="C6" s="64">
        <v>2522593888</v>
      </c>
      <c r="D6" s="64">
        <v>3431639409</v>
      </c>
      <c r="E6" s="64">
        <v>2522394060</v>
      </c>
      <c r="F6" s="64">
        <v>3651844970</v>
      </c>
      <c r="G6" s="64">
        <v>607300000</v>
      </c>
      <c r="H6" s="64">
        <v>2986664194</v>
      </c>
      <c r="I6" s="64">
        <v>295414796</v>
      </c>
      <c r="J6" s="64">
        <v>3585981730</v>
      </c>
      <c r="K6" s="64">
        <v>553037310</v>
      </c>
      <c r="L6" s="64">
        <v>2776405261</v>
      </c>
      <c r="M6" s="64">
        <v>617404264</v>
      </c>
      <c r="N6" s="64">
        <v>1986278481</v>
      </c>
      <c r="O6" s="64">
        <v>3904083726</v>
      </c>
      <c r="P6" s="64">
        <v>254280377</v>
      </c>
      <c r="Q6" s="54">
        <v>29695322466</v>
      </c>
    </row>
    <row r="7" spans="1:18" x14ac:dyDescent="0.35">
      <c r="B7" s="18" t="s">
        <v>56</v>
      </c>
      <c r="C7" s="64">
        <v>3625284592.73</v>
      </c>
      <c r="D7" s="64">
        <v>6352528607</v>
      </c>
      <c r="E7" s="64">
        <v>4636825489</v>
      </c>
      <c r="F7" s="64">
        <v>10274654562</v>
      </c>
      <c r="G7" s="64">
        <v>517367072</v>
      </c>
      <c r="H7" s="64">
        <v>8678878844</v>
      </c>
      <c r="I7" s="64">
        <v>4291924609</v>
      </c>
      <c r="J7" s="64">
        <v>10856308065</v>
      </c>
      <c r="K7" s="64">
        <v>749066000</v>
      </c>
      <c r="L7" s="64">
        <v>9999846532</v>
      </c>
      <c r="M7" s="64">
        <v>2285938897</v>
      </c>
      <c r="N7" s="64">
        <v>6551136228</v>
      </c>
      <c r="O7" s="64">
        <v>12299138637</v>
      </c>
      <c r="P7" s="64">
        <v>1306834637</v>
      </c>
      <c r="Q7" s="54">
        <v>82425732771.729996</v>
      </c>
    </row>
    <row r="8" spans="1:18" x14ac:dyDescent="0.35">
      <c r="B8" s="18" t="s">
        <v>57</v>
      </c>
      <c r="C8" s="64">
        <v>9211762047.5100002</v>
      </c>
      <c r="D8" s="64">
        <v>54463150184</v>
      </c>
      <c r="E8" s="64">
        <v>21278618583</v>
      </c>
      <c r="F8" s="64">
        <v>51539658706</v>
      </c>
      <c r="G8" s="64">
        <v>1612845374</v>
      </c>
      <c r="H8" s="64">
        <v>50935521509</v>
      </c>
      <c r="I8" s="64">
        <v>15885731522</v>
      </c>
      <c r="J8" s="64">
        <v>59724115227</v>
      </c>
      <c r="K8" s="64">
        <v>1503776686</v>
      </c>
      <c r="L8" s="64">
        <v>43585816364</v>
      </c>
      <c r="M8" s="64">
        <v>8874818880</v>
      </c>
      <c r="N8" s="64">
        <v>52363407550</v>
      </c>
      <c r="O8" s="64">
        <v>71759993187</v>
      </c>
      <c r="P8" s="64">
        <v>7090747195</v>
      </c>
      <c r="Q8" s="54">
        <v>449829963014.51001</v>
      </c>
    </row>
    <row r="9" spans="1:18" x14ac:dyDescent="0.35">
      <c r="B9" s="18" t="s">
        <v>5</v>
      </c>
      <c r="C9" s="64">
        <v>79612994432.699997</v>
      </c>
      <c r="D9" s="64">
        <v>74955827250.979996</v>
      </c>
      <c r="E9" s="64">
        <v>51146605313</v>
      </c>
      <c r="F9" s="64">
        <v>100308593748</v>
      </c>
      <c r="G9" s="64">
        <v>9426879367</v>
      </c>
      <c r="H9" s="64">
        <v>77526727690.199997</v>
      </c>
      <c r="I9" s="64">
        <v>19173415980.68</v>
      </c>
      <c r="J9" s="64">
        <v>85858947405.25</v>
      </c>
      <c r="K9" s="64">
        <v>12788854768</v>
      </c>
      <c r="L9" s="64">
        <v>66880263982</v>
      </c>
      <c r="M9" s="64">
        <v>12555334172</v>
      </c>
      <c r="N9" s="64">
        <v>66579495266</v>
      </c>
      <c r="O9" s="64">
        <v>80198482097.419998</v>
      </c>
      <c r="P9" s="64">
        <v>24305520118</v>
      </c>
      <c r="Q9" s="54">
        <v>761317941591.2301</v>
      </c>
    </row>
    <row r="10" spans="1:18" x14ac:dyDescent="0.35">
      <c r="B10" s="18" t="s">
        <v>58</v>
      </c>
      <c r="C10" s="64">
        <v>2575572118.4499998</v>
      </c>
      <c r="D10" s="64">
        <v>4683077213</v>
      </c>
      <c r="E10" s="64">
        <v>2068842184</v>
      </c>
      <c r="F10" s="64">
        <v>4626174915.8000002</v>
      </c>
      <c r="G10" s="64">
        <v>38933016</v>
      </c>
      <c r="H10" s="64">
        <v>6026642269</v>
      </c>
      <c r="I10" s="64">
        <v>2440632536</v>
      </c>
      <c r="J10" s="64">
        <v>5093260901.3099995</v>
      </c>
      <c r="K10" s="64">
        <v>81945698</v>
      </c>
      <c r="L10" s="64">
        <v>7665932983</v>
      </c>
      <c r="M10" s="64">
        <v>920846201</v>
      </c>
      <c r="N10" s="64">
        <v>1462883611.9000001</v>
      </c>
      <c r="O10" s="64">
        <v>1960631036</v>
      </c>
      <c r="P10" s="64">
        <v>108510985</v>
      </c>
      <c r="Q10" s="54">
        <v>39753885668.459999</v>
      </c>
    </row>
    <row r="11" spans="1:18" x14ac:dyDescent="0.35">
      <c r="A11" s="17"/>
      <c r="B11" s="19" t="s">
        <v>59</v>
      </c>
      <c r="C11" s="65">
        <v>745293665</v>
      </c>
      <c r="D11" s="65">
        <v>150554711</v>
      </c>
      <c r="E11" s="65">
        <v>299740</v>
      </c>
      <c r="F11" s="65">
        <v>37369688</v>
      </c>
      <c r="G11" s="65">
        <v>0</v>
      </c>
      <c r="H11" s="65">
        <v>544971442</v>
      </c>
      <c r="I11" s="65">
        <v>4000000</v>
      </c>
      <c r="J11" s="65">
        <v>2774683</v>
      </c>
      <c r="K11" s="65">
        <v>0</v>
      </c>
      <c r="L11" s="65">
        <v>35741732</v>
      </c>
      <c r="M11" s="65">
        <v>0</v>
      </c>
      <c r="N11" s="65">
        <v>7005000</v>
      </c>
      <c r="O11" s="65">
        <v>39000000</v>
      </c>
      <c r="P11" s="65">
        <v>0</v>
      </c>
      <c r="Q11" s="54">
        <v>1567010661</v>
      </c>
    </row>
    <row r="12" spans="1:18" x14ac:dyDescent="0.35">
      <c r="B12" s="19"/>
      <c r="C12" s="20">
        <v>314104756238.89001</v>
      </c>
      <c r="D12" s="20">
        <v>347823660031</v>
      </c>
      <c r="E12" s="20">
        <v>218177161244</v>
      </c>
      <c r="F12" s="20">
        <v>345175490951</v>
      </c>
      <c r="G12" s="20">
        <v>30653832405</v>
      </c>
      <c r="H12" s="20">
        <v>361685745890</v>
      </c>
      <c r="I12" s="20">
        <v>104262552145</v>
      </c>
      <c r="J12" s="20">
        <v>340483959706</v>
      </c>
      <c r="K12" s="20">
        <v>36783766550</v>
      </c>
      <c r="L12" s="20">
        <v>297229810708</v>
      </c>
      <c r="M12" s="20">
        <v>93381856496</v>
      </c>
      <c r="N12" s="20">
        <v>286097378386</v>
      </c>
      <c r="O12" s="20">
        <v>436251986214</v>
      </c>
      <c r="P12" s="20">
        <v>85143509191</v>
      </c>
      <c r="Q12" s="20">
        <v>3297255466155.8901</v>
      </c>
    </row>
    <row r="13" spans="1:18" x14ac:dyDescent="0.35">
      <c r="O13"/>
    </row>
    <row r="14" spans="1:18" x14ac:dyDescent="0.35"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3"/>
      <c r="Q14" s="73"/>
    </row>
    <row r="15" spans="1:18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16" spans="1:18" x14ac:dyDescent="0.35"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</row>
    <row r="27" spans="3:16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opLeftCell="B1" zoomScale="74" workbookViewId="0">
      <selection activeCell="E14" sqref="E14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6" width="12" style="15" bestFit="1" customWidth="1"/>
    <col min="7" max="7" width="12" style="15" customWidth="1"/>
    <col min="8" max="9" width="12" style="15" bestFit="1" customWidth="1"/>
    <col min="10" max="11" width="11.90625" style="15" bestFit="1" customWidth="1"/>
    <col min="12" max="12" width="12" style="15" bestFit="1" customWidth="1"/>
    <col min="13" max="13" width="12" style="15" customWidth="1"/>
    <col min="14" max="14" width="11.90625" style="15" bestFit="1" customWidth="1"/>
    <col min="15" max="16" width="12" style="15" bestFit="1" customWidth="1"/>
    <col min="17" max="17" width="11.36328125" style="28" bestFit="1" customWidth="1"/>
    <col min="18" max="16384" width="9.1796875" style="28"/>
  </cols>
  <sheetData>
    <row r="1" spans="1:17" ht="15" thickBot="1" x14ac:dyDescent="0.4">
      <c r="A1" s="39" t="str">
        <f>'Fixed rate bond (Values)'!A1</f>
        <v>27 June 2025</v>
      </c>
    </row>
    <row r="2" spans="1:17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88</v>
      </c>
      <c r="H2" s="45" t="s">
        <v>45</v>
      </c>
      <c r="I2" s="45" t="s">
        <v>46</v>
      </c>
      <c r="J2" s="45" t="s">
        <v>47</v>
      </c>
      <c r="K2" s="45" t="s">
        <v>89</v>
      </c>
      <c r="L2" s="45" t="s">
        <v>48</v>
      </c>
      <c r="M2" s="45" t="s">
        <v>49</v>
      </c>
      <c r="N2" s="45" t="s">
        <v>50</v>
      </c>
      <c r="O2" s="45" t="s">
        <v>51</v>
      </c>
      <c r="P2" s="45" t="s">
        <v>77</v>
      </c>
      <c r="Q2" s="45" t="s">
        <v>70</v>
      </c>
    </row>
    <row r="3" spans="1:17" x14ac:dyDescent="0.35">
      <c r="B3" s="46" t="s">
        <v>53</v>
      </c>
      <c r="C3" s="67">
        <v>0.30151214748853328</v>
      </c>
      <c r="D3" s="67">
        <v>0.24986976321203688</v>
      </c>
      <c r="E3" s="67">
        <v>0.32844245715920761</v>
      </c>
      <c r="F3" s="67">
        <v>0.21397930188642791</v>
      </c>
      <c r="G3" s="67">
        <v>0.21238465474672841</v>
      </c>
      <c r="H3" s="67">
        <v>0.42889613554242356</v>
      </c>
      <c r="I3" s="67">
        <v>0.37836889565542681</v>
      </c>
      <c r="J3" s="67">
        <v>0.3123073672158253</v>
      </c>
      <c r="K3" s="67">
        <v>0.20948849644110196</v>
      </c>
      <c r="L3" s="67">
        <v>0.38145023238057191</v>
      </c>
      <c r="M3" s="67">
        <v>0.52049352340817912</v>
      </c>
      <c r="N3" s="67">
        <v>0.31460233159341816</v>
      </c>
      <c r="O3" s="67">
        <v>0.21612561749059664</v>
      </c>
      <c r="P3" s="67">
        <v>0.24148367466129</v>
      </c>
      <c r="Q3" s="67">
        <v>0.30604215068880292</v>
      </c>
    </row>
    <row r="4" spans="1:17" x14ac:dyDescent="0.35">
      <c r="B4" s="47" t="s">
        <v>71</v>
      </c>
      <c r="C4" s="67">
        <v>0.33682121886491512</v>
      </c>
      <c r="D4" s="67">
        <v>0.27795885728680236</v>
      </c>
      <c r="E4" s="67">
        <v>0.24638559021254253</v>
      </c>
      <c r="F4" s="67">
        <v>0.25734547535360769</v>
      </c>
      <c r="G4" s="67">
        <v>0.36451641838354337</v>
      </c>
      <c r="H4" s="67">
        <v>0.12596388755573473</v>
      </c>
      <c r="I4" s="67">
        <v>0.14532297647891995</v>
      </c>
      <c r="J4" s="67">
        <v>0.14448631292401845</v>
      </c>
      <c r="K4" s="67">
        <v>0.2766824938160119</v>
      </c>
      <c r="L4" s="67">
        <v>9.7956403416086926E-2</v>
      </c>
      <c r="M4" s="67">
        <v>0.10861378734138205</v>
      </c>
      <c r="N4" s="67">
        <v>0.13244789320640021</v>
      </c>
      <c r="O4" s="67">
        <v>0.314957388655141</v>
      </c>
      <c r="P4" s="67">
        <v>0.13422331516032945</v>
      </c>
      <c r="Q4" s="66">
        <v>0.20413961563726857</v>
      </c>
    </row>
    <row r="5" spans="1:17" x14ac:dyDescent="0.35">
      <c r="B5" s="47" t="s">
        <v>54</v>
      </c>
      <c r="C5" s="67">
        <v>4.8734407081877602E-2</v>
      </c>
      <c r="D5" s="67">
        <v>5.8062755142074159E-2</v>
      </c>
      <c r="E5" s="67">
        <v>5.0918364840103127E-2</v>
      </c>
      <c r="F5" s="67">
        <v>3.4902341840111165E-2</v>
      </c>
      <c r="G5" s="67">
        <v>2.4997812863197195E-2</v>
      </c>
      <c r="H5" s="67">
        <v>3.9540896442597159E-2</v>
      </c>
      <c r="I5" s="67">
        <v>7.2604990183553889E-2</v>
      </c>
      <c r="J5" s="67">
        <v>5.8245477199202485E-2</v>
      </c>
      <c r="K5" s="67">
        <v>8.7644256729875317E-2</v>
      </c>
      <c r="L5" s="67">
        <v>8.0045336594360778E-2</v>
      </c>
      <c r="M5" s="67">
        <v>0.10045104928281014</v>
      </c>
      <c r="N5" s="67">
        <v>0.10222839192724038</v>
      </c>
      <c r="O5" s="67">
        <v>7.8864148112148813E-2</v>
      </c>
      <c r="P5" s="67">
        <v>0.23593817695410943</v>
      </c>
      <c r="Q5" s="66">
        <v>6.7218271418500272E-2</v>
      </c>
    </row>
    <row r="6" spans="1:17" x14ac:dyDescent="0.35">
      <c r="B6" s="47" t="s">
        <v>55</v>
      </c>
      <c r="C6" s="67">
        <v>8.0310591861317126E-3</v>
      </c>
      <c r="D6" s="67">
        <v>9.8660321402349489E-3</v>
      </c>
      <c r="E6" s="67">
        <v>1.1561219541118982E-2</v>
      </c>
      <c r="F6" s="67">
        <v>1.05796763262036E-2</v>
      </c>
      <c r="G6" s="67">
        <v>1.9811552173193921E-2</v>
      </c>
      <c r="H6" s="67">
        <v>8.2576220598650253E-3</v>
      </c>
      <c r="I6" s="67">
        <v>2.8333739192299913E-3</v>
      </c>
      <c r="J6" s="67">
        <v>1.0532013705128464E-2</v>
      </c>
      <c r="K6" s="67">
        <v>1.5034820027151351E-2</v>
      </c>
      <c r="L6" s="67">
        <v>9.3409380922681202E-3</v>
      </c>
      <c r="M6" s="67">
        <v>6.6116083698383793E-3</v>
      </c>
      <c r="N6" s="67">
        <v>6.9426657881503937E-3</v>
      </c>
      <c r="O6" s="67">
        <v>8.9491483119228301E-3</v>
      </c>
      <c r="P6" s="67">
        <v>2.986491623566749E-3</v>
      </c>
      <c r="Q6" s="66">
        <v>9.3615198025416065E-3</v>
      </c>
    </row>
    <row r="7" spans="1:17" x14ac:dyDescent="0.35">
      <c r="B7" s="47" t="s">
        <v>56</v>
      </c>
      <c r="C7" s="67">
        <v>1.1541641827202442E-2</v>
      </c>
      <c r="D7" s="67">
        <v>1.8263647178095439E-2</v>
      </c>
      <c r="E7" s="67">
        <v>2.1252570445787277E-2</v>
      </c>
      <c r="F7" s="67">
        <v>2.9766466134927744E-2</v>
      </c>
      <c r="G7" s="67">
        <v>1.6877728864845343E-2</v>
      </c>
      <c r="H7" s="67">
        <v>2.3995634173096553E-2</v>
      </c>
      <c r="I7" s="67">
        <v>4.1164584222253983E-2</v>
      </c>
      <c r="J7" s="67">
        <v>3.188493247780063E-2</v>
      </c>
      <c r="K7" s="67">
        <v>2.0364037461519827E-2</v>
      </c>
      <c r="L7" s="67">
        <v>3.3643484508436128E-2</v>
      </c>
      <c r="M7" s="67">
        <v>2.4479475808000431E-2</v>
      </c>
      <c r="N7" s="67">
        <v>2.2898274234310761E-2</v>
      </c>
      <c r="O7" s="67">
        <v>2.8192739576357491E-2</v>
      </c>
      <c r="P7" s="67">
        <v>1.5348611414035276E-2</v>
      </c>
      <c r="Q7" s="66">
        <v>2.453949994057688E-2</v>
      </c>
    </row>
    <row r="8" spans="1:17" x14ac:dyDescent="0.35">
      <c r="B8" s="47" t="s">
        <v>57</v>
      </c>
      <c r="C8" s="67">
        <v>2.9327037762217342E-2</v>
      </c>
      <c r="D8" s="67">
        <v>0.15658264932048022</v>
      </c>
      <c r="E8" s="67">
        <v>9.752908352860501E-2</v>
      </c>
      <c r="F8" s="67">
        <v>0.14931436343873095</v>
      </c>
      <c r="G8" s="67">
        <v>5.2614803679063828E-2</v>
      </c>
      <c r="H8" s="67">
        <v>0.14082811415103733</v>
      </c>
      <c r="I8" s="67">
        <v>0.15236277258883321</v>
      </c>
      <c r="J8" s="67">
        <v>0.1754094826627674</v>
      </c>
      <c r="K8" s="67">
        <v>4.0881530823003769E-2</v>
      </c>
      <c r="L8" s="67">
        <v>0.14664012421963596</v>
      </c>
      <c r="M8" s="67">
        <v>9.5037935772674983E-2</v>
      </c>
      <c r="N8" s="67">
        <v>0.18302652001009168</v>
      </c>
      <c r="O8" s="67">
        <v>0.1644920721387815</v>
      </c>
      <c r="P8" s="67">
        <v>8.3279950079265933E-2</v>
      </c>
      <c r="Q8" s="66">
        <v>0.14006002305373402</v>
      </c>
    </row>
    <row r="9" spans="1:17" x14ac:dyDescent="0.35">
      <c r="B9" s="47" t="s">
        <v>5</v>
      </c>
      <c r="C9" s="67">
        <v>0.25346000928477164</v>
      </c>
      <c r="D9" s="67">
        <v>0.21549950697517101</v>
      </c>
      <c r="E9" s="67">
        <v>0.23442694469656164</v>
      </c>
      <c r="F9" s="67">
        <v>0.29060172688286112</v>
      </c>
      <c r="G9" s="67">
        <v>0.30752694287786231</v>
      </c>
      <c r="H9" s="67">
        <v>0.21434830808560068</v>
      </c>
      <c r="I9" s="67">
        <v>0.18389551748181984</v>
      </c>
      <c r="J9" s="67">
        <v>0.25216737810317763</v>
      </c>
      <c r="K9" s="67">
        <v>0.34767659670241136</v>
      </c>
      <c r="L9" s="67">
        <v>0.22501196573348928</v>
      </c>
      <c r="M9" s="67">
        <v>0.13445153740906624</v>
      </c>
      <c r="N9" s="67">
        <v>0.23271620188064621</v>
      </c>
      <c r="O9" s="67">
        <v>0.1838352251262399</v>
      </c>
      <c r="P9" s="67">
        <v>0.28546533198997143</v>
      </c>
      <c r="Q9" s="66">
        <v>0.24287543269786241</v>
      </c>
    </row>
    <row r="10" spans="1:17" x14ac:dyDescent="0.35">
      <c r="B10" s="47" t="s">
        <v>58</v>
      </c>
      <c r="C10" s="67">
        <v>8.1997233957551655E-3</v>
      </c>
      <c r="D10" s="67">
        <v>1.3463940930822871E-2</v>
      </c>
      <c r="E10" s="67">
        <v>9.4823957384168895E-3</v>
      </c>
      <c r="F10" s="67">
        <v>1.3402385270907653E-2</v>
      </c>
      <c r="G10" s="67">
        <v>1.2700864115656079E-3</v>
      </c>
      <c r="H10" s="67">
        <v>1.6662647996177574E-2</v>
      </c>
      <c r="I10" s="67">
        <v>2.3408524784677857E-2</v>
      </c>
      <c r="J10" s="67">
        <v>1.495888647943331E-2</v>
      </c>
      <c r="K10" s="67">
        <v>2.2277679989245146E-3</v>
      </c>
      <c r="L10" s="67">
        <v>2.5791265569021438E-2</v>
      </c>
      <c r="M10" s="67">
        <v>9.8610826080486446E-3</v>
      </c>
      <c r="N10" s="67">
        <v>5.1132366893844473E-3</v>
      </c>
      <c r="O10" s="67">
        <v>4.4942627150314626E-3</v>
      </c>
      <c r="P10" s="67">
        <v>1.2744481174317166E-3</v>
      </c>
      <c r="Q10" s="66">
        <v>1.1963268683713991E-2</v>
      </c>
    </row>
    <row r="11" spans="1:17" x14ac:dyDescent="0.35">
      <c r="B11" s="47" t="s">
        <v>59</v>
      </c>
      <c r="C11" s="67">
        <v>2.3727551085955937E-3</v>
      </c>
      <c r="D11" s="67">
        <v>4.3284781428204661E-4</v>
      </c>
      <c r="E11" s="67">
        <v>1.3738376569341445E-6</v>
      </c>
      <c r="F11" s="67">
        <v>1.082628662221701E-4</v>
      </c>
      <c r="G11" s="67">
        <v>0</v>
      </c>
      <c r="H11" s="67">
        <v>1.5067539934674201E-3</v>
      </c>
      <c r="I11" s="67">
        <v>3.8364685284483741E-5</v>
      </c>
      <c r="J11" s="67">
        <v>8.149232646365703E-6</v>
      </c>
      <c r="K11" s="67">
        <v>0</v>
      </c>
      <c r="L11" s="67">
        <v>1.2024948612948131E-4</v>
      </c>
      <c r="M11" s="67">
        <v>0</v>
      </c>
      <c r="N11" s="67">
        <v>2.4484670357758108E-5</v>
      </c>
      <c r="O11" s="67">
        <v>8.939787378038172E-5</v>
      </c>
      <c r="P11" s="67">
        <v>0</v>
      </c>
      <c r="Q11" s="66">
        <v>5.2413722571827408E-4</v>
      </c>
    </row>
    <row r="12" spans="1:17" ht="15" thickBot="1" x14ac:dyDescent="0.4">
      <c r="A12" s="17"/>
      <c r="B12" s="48"/>
      <c r="C12" s="49">
        <v>0.99999999999999978</v>
      </c>
      <c r="D12" s="49">
        <v>1.0000000000000002</v>
      </c>
      <c r="E12" s="49">
        <v>1</v>
      </c>
      <c r="F12" s="49">
        <v>0.99999999999999989</v>
      </c>
      <c r="G12" s="49">
        <v>0.99999999999999978</v>
      </c>
      <c r="H12" s="49">
        <v>1</v>
      </c>
      <c r="I12" s="49">
        <v>1</v>
      </c>
      <c r="J12" s="49">
        <v>0.99999999999999989</v>
      </c>
      <c r="K12" s="49">
        <v>0.99999999999999989</v>
      </c>
      <c r="L12" s="49">
        <v>1</v>
      </c>
      <c r="M12" s="49">
        <v>0.99999999999999989</v>
      </c>
      <c r="N12" s="49">
        <v>1</v>
      </c>
      <c r="O12" s="49">
        <v>1</v>
      </c>
      <c r="P12" s="49">
        <v>1</v>
      </c>
      <c r="Q12" s="49">
        <v>1.0105743239889102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zoomScale="90" zoomScaleNormal="90" workbookViewId="0">
      <selection activeCell="M19" sqref="C14:M19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3" width="17.7265625" style="15" bestFit="1" customWidth="1"/>
    <col min="4" max="4" width="16.54296875" style="15" bestFit="1" customWidth="1"/>
    <col min="5" max="8" width="17.7265625" style="15" bestFit="1" customWidth="1"/>
    <col min="9" max="9" width="17.7265625" style="15" customWidth="1"/>
    <col min="10" max="10" width="18.7265625" style="15" bestFit="1" customWidth="1"/>
    <col min="11" max="12" width="18.81640625" style="28" customWidth="1"/>
    <col min="13" max="13" width="20.81640625" style="28" customWidth="1"/>
    <col min="14" max="16384" width="9.1796875" style="28"/>
  </cols>
  <sheetData>
    <row r="1" spans="1:13" x14ac:dyDescent="0.35">
      <c r="A1" s="39" t="str">
        <f>'Fixed rate bond (Values)'!A1</f>
        <v>27 June 2025</v>
      </c>
      <c r="C1" s="32"/>
      <c r="D1" s="32"/>
      <c r="E1" s="32"/>
      <c r="F1" s="32"/>
      <c r="G1" s="32"/>
      <c r="H1" s="32"/>
      <c r="I1" s="32"/>
    </row>
    <row r="2" spans="1:13" x14ac:dyDescent="0.35">
      <c r="A2" s="17"/>
      <c r="B2" s="18" t="s">
        <v>40</v>
      </c>
      <c r="C2" s="40" t="s">
        <v>60</v>
      </c>
      <c r="D2" s="40" t="s">
        <v>66</v>
      </c>
      <c r="E2" s="40" t="s">
        <v>78</v>
      </c>
      <c r="F2" s="40" t="s">
        <v>61</v>
      </c>
      <c r="G2" s="40" t="s">
        <v>62</v>
      </c>
      <c r="H2" s="40" t="s">
        <v>63</v>
      </c>
      <c r="I2" s="40" t="s">
        <v>80</v>
      </c>
      <c r="J2" s="40" t="s">
        <v>64</v>
      </c>
      <c r="K2" s="22" t="s">
        <v>65</v>
      </c>
      <c r="L2" s="22" t="s">
        <v>81</v>
      </c>
      <c r="M2" s="22" t="s">
        <v>82</v>
      </c>
    </row>
    <row r="3" spans="1:13" x14ac:dyDescent="0.35">
      <c r="B3" s="18" t="s">
        <v>53</v>
      </c>
      <c r="C3" s="64">
        <v>183795432</v>
      </c>
      <c r="D3" s="64">
        <v>1787171624</v>
      </c>
      <c r="E3" s="64">
        <v>46670250</v>
      </c>
      <c r="F3" s="64">
        <v>10346493883</v>
      </c>
      <c r="G3" s="64">
        <v>201885358</v>
      </c>
      <c r="H3" s="64">
        <v>3599308106</v>
      </c>
      <c r="I3" s="64">
        <v>53400000</v>
      </c>
      <c r="J3" s="64">
        <v>7533885528</v>
      </c>
      <c r="K3" s="64">
        <v>4428099837</v>
      </c>
      <c r="L3" s="64">
        <v>172770000</v>
      </c>
      <c r="M3" s="20">
        <v>28353480018</v>
      </c>
    </row>
    <row r="4" spans="1:13" x14ac:dyDescent="0.35">
      <c r="B4" s="18" t="s">
        <v>71</v>
      </c>
      <c r="C4" s="64">
        <v>2560845045</v>
      </c>
      <c r="D4" s="64">
        <v>5251564009</v>
      </c>
      <c r="E4" s="64">
        <v>185142452</v>
      </c>
      <c r="F4" s="64">
        <v>4421009316</v>
      </c>
      <c r="G4" s="64">
        <v>4795569674.9700003</v>
      </c>
      <c r="H4" s="64">
        <v>6142885679.8899994</v>
      </c>
      <c r="I4" s="64">
        <v>509591692</v>
      </c>
      <c r="J4" s="64">
        <v>16294757639.99</v>
      </c>
      <c r="K4" s="64">
        <v>14906316396.24</v>
      </c>
      <c r="L4" s="64">
        <v>123456558</v>
      </c>
      <c r="M4" s="20">
        <v>55191138463.089996</v>
      </c>
    </row>
    <row r="5" spans="1:13" x14ac:dyDescent="0.35">
      <c r="B5" s="18" t="s">
        <v>54</v>
      </c>
      <c r="C5" s="64">
        <v>1624634423</v>
      </c>
      <c r="D5" s="64">
        <v>7203766611</v>
      </c>
      <c r="E5" s="64">
        <v>1164871083</v>
      </c>
      <c r="F5" s="64">
        <v>3269342210</v>
      </c>
      <c r="G5" s="64">
        <v>1401310885.8499999</v>
      </c>
      <c r="H5" s="64">
        <v>5117266686</v>
      </c>
      <c r="I5" s="64">
        <v>1107720041</v>
      </c>
      <c r="J5" s="64">
        <v>6655284165</v>
      </c>
      <c r="K5" s="64">
        <v>6429230148</v>
      </c>
      <c r="L5" s="64">
        <v>289356330</v>
      </c>
      <c r="M5" s="20">
        <v>34262782582.849998</v>
      </c>
    </row>
    <row r="6" spans="1:13" x14ac:dyDescent="0.35">
      <c r="B6" s="18" t="s">
        <v>55</v>
      </c>
      <c r="C6" s="64">
        <v>154768926</v>
      </c>
      <c r="D6" s="64">
        <v>2605860634</v>
      </c>
      <c r="E6" s="64">
        <v>447204111</v>
      </c>
      <c r="F6" s="64">
        <v>1955305790</v>
      </c>
      <c r="G6" s="64">
        <v>397500994</v>
      </c>
      <c r="H6" s="64">
        <v>1660827901.5900002</v>
      </c>
      <c r="I6" s="64">
        <v>430214299</v>
      </c>
      <c r="J6" s="64">
        <v>1523483472</v>
      </c>
      <c r="K6" s="64">
        <v>2827501886.8099999</v>
      </c>
      <c r="L6" s="64">
        <v>628178838</v>
      </c>
      <c r="M6" s="20">
        <v>12630846852.4</v>
      </c>
    </row>
    <row r="7" spans="1:13" x14ac:dyDescent="0.35">
      <c r="B7" s="18" t="s">
        <v>56</v>
      </c>
      <c r="C7" s="64">
        <v>2541113437.75</v>
      </c>
      <c r="D7" s="64">
        <v>5900439201</v>
      </c>
      <c r="E7" s="64">
        <v>763685538</v>
      </c>
      <c r="F7" s="64">
        <v>8202457754</v>
      </c>
      <c r="G7" s="64">
        <v>2874862961.9300003</v>
      </c>
      <c r="H7" s="64">
        <v>11648728819</v>
      </c>
      <c r="I7" s="64">
        <v>860600739</v>
      </c>
      <c r="J7" s="64">
        <v>15579987152</v>
      </c>
      <c r="K7" s="64">
        <v>20268373073.48</v>
      </c>
      <c r="L7" s="64">
        <v>1876791204</v>
      </c>
      <c r="M7" s="20">
        <v>70517039880.160004</v>
      </c>
    </row>
    <row r="8" spans="1:13" x14ac:dyDescent="0.35">
      <c r="B8" s="18" t="s">
        <v>57</v>
      </c>
      <c r="C8" s="64">
        <v>19391489590</v>
      </c>
      <c r="D8" s="64">
        <v>34438097659</v>
      </c>
      <c r="E8" s="64">
        <v>1578227967</v>
      </c>
      <c r="F8" s="64">
        <v>45334101765</v>
      </c>
      <c r="G8" s="64">
        <v>23645814306</v>
      </c>
      <c r="H8" s="64">
        <v>59273243683</v>
      </c>
      <c r="I8" s="64">
        <v>7820837622</v>
      </c>
      <c r="J8" s="64">
        <v>54352544328</v>
      </c>
      <c r="K8" s="64">
        <v>62308172807</v>
      </c>
      <c r="L8" s="64">
        <v>4573730632</v>
      </c>
      <c r="M8" s="20">
        <v>312716260359</v>
      </c>
    </row>
    <row r="9" spans="1:13" x14ac:dyDescent="0.35">
      <c r="B9" s="18" t="s">
        <v>5</v>
      </c>
      <c r="C9" s="64">
        <v>5052515671.0200005</v>
      </c>
      <c r="D9" s="64">
        <v>22556980107</v>
      </c>
      <c r="E9" s="64">
        <v>5349628336</v>
      </c>
      <c r="F9" s="64">
        <v>17772479579</v>
      </c>
      <c r="G9" s="64">
        <v>3862177140.25</v>
      </c>
      <c r="H9" s="64">
        <v>8337253078.5200005</v>
      </c>
      <c r="I9" s="64">
        <v>2044897256</v>
      </c>
      <c r="J9" s="64">
        <v>5989989807.0100002</v>
      </c>
      <c r="K9" s="64">
        <v>6304200403.4700003</v>
      </c>
      <c r="L9" s="64">
        <v>814320269</v>
      </c>
      <c r="M9" s="20">
        <v>78084441647.270004</v>
      </c>
    </row>
    <row r="10" spans="1:13" x14ac:dyDescent="0.35">
      <c r="B10" s="18" t="s">
        <v>58</v>
      </c>
      <c r="C10" s="64">
        <v>398355037.23000002</v>
      </c>
      <c r="D10" s="64">
        <v>1102393686</v>
      </c>
      <c r="E10" s="64">
        <v>134570263</v>
      </c>
      <c r="F10" s="64">
        <v>950152775</v>
      </c>
      <c r="G10" s="64">
        <v>762063678</v>
      </c>
      <c r="H10" s="64">
        <v>1202239883</v>
      </c>
      <c r="I10" s="64">
        <v>55685767</v>
      </c>
      <c r="J10" s="64">
        <v>3225781122</v>
      </c>
      <c r="K10" s="64">
        <v>3277431351</v>
      </c>
      <c r="L10" s="64">
        <v>123323000</v>
      </c>
      <c r="M10" s="20">
        <v>11231996562.23</v>
      </c>
    </row>
    <row r="11" spans="1:13" x14ac:dyDescent="0.35">
      <c r="B11" s="18" t="s">
        <v>59</v>
      </c>
      <c r="C11" s="65">
        <v>300000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20">
        <v>300000</v>
      </c>
    </row>
    <row r="12" spans="1:13" x14ac:dyDescent="0.35">
      <c r="A12" s="17"/>
      <c r="B12" s="18"/>
      <c r="C12" s="33">
        <v>31907817562</v>
      </c>
      <c r="D12" s="33">
        <v>80846273531</v>
      </c>
      <c r="E12" s="33">
        <v>9670000000</v>
      </c>
      <c r="F12" s="33">
        <v>92251343072</v>
      </c>
      <c r="G12" s="33">
        <v>37941184999</v>
      </c>
      <c r="H12" s="33">
        <v>96981753837</v>
      </c>
      <c r="I12" s="33">
        <v>12882947416</v>
      </c>
      <c r="J12" s="33">
        <v>111155713213.99998</v>
      </c>
      <c r="K12" s="33">
        <v>120749325903</v>
      </c>
      <c r="L12" s="33">
        <v>8601926831</v>
      </c>
      <c r="M12" s="33">
        <v>602988286365</v>
      </c>
    </row>
    <row r="13" spans="1:13" x14ac:dyDescent="0.35">
      <c r="C13" s="26"/>
      <c r="D13" s="26"/>
      <c r="E13" s="26"/>
      <c r="F13" s="26"/>
      <c r="G13" s="26"/>
      <c r="H13" s="26"/>
      <c r="I13" s="26"/>
      <c r="J13" s="26"/>
      <c r="K13" s="42"/>
      <c r="L13" s="42"/>
    </row>
    <row r="14" spans="1:13" x14ac:dyDescent="0.35">
      <c r="C14" s="34"/>
      <c r="D14" s="34"/>
      <c r="E14" s="34"/>
      <c r="F14" s="34"/>
      <c r="G14" s="34"/>
      <c r="H14" s="34"/>
      <c r="I14" s="34"/>
      <c r="J14" s="34"/>
      <c r="K14" s="42"/>
      <c r="L14" s="42"/>
    </row>
    <row r="15" spans="1:13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13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3:12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3:12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3:12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3:12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3:12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3:12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3:12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3:12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="85" zoomScaleNormal="73" workbookViewId="0">
      <selection activeCell="F16" sqref="F16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" style="15" bestFit="1" customWidth="1"/>
    <col min="4" max="4" width="11" style="15" customWidth="1"/>
    <col min="5" max="5" width="11" style="15" bestFit="1" customWidth="1"/>
    <col min="6" max="8" width="11.26953125" style="15" bestFit="1" customWidth="1"/>
    <col min="9" max="9" width="11.26953125" style="15" customWidth="1"/>
    <col min="10" max="10" width="11.7265625" style="28" customWidth="1"/>
    <col min="11" max="12" width="11.08984375" style="28" bestFit="1" customWidth="1"/>
    <col min="13" max="16384" width="9.1796875" style="28"/>
  </cols>
  <sheetData>
    <row r="1" spans="1:13" x14ac:dyDescent="0.35">
      <c r="A1" s="39" t="str">
        <f>'Fixed rate bond (Values)'!A1</f>
        <v>27 June 2025</v>
      </c>
    </row>
    <row r="2" spans="1:13" x14ac:dyDescent="0.35">
      <c r="A2" s="17"/>
      <c r="B2" s="18"/>
      <c r="C2" s="22" t="s">
        <v>60</v>
      </c>
      <c r="D2" s="22" t="s">
        <v>66</v>
      </c>
      <c r="E2" s="22" t="s">
        <v>78</v>
      </c>
      <c r="F2" s="22" t="s">
        <v>61</v>
      </c>
      <c r="G2" s="22" t="s">
        <v>62</v>
      </c>
      <c r="H2" s="22" t="s">
        <v>63</v>
      </c>
      <c r="I2" s="22" t="s">
        <v>80</v>
      </c>
      <c r="J2" s="22" t="s">
        <v>64</v>
      </c>
      <c r="K2" s="43" t="s">
        <v>65</v>
      </c>
      <c r="L2" s="43" t="s">
        <v>81</v>
      </c>
      <c r="M2" s="43" t="s">
        <v>70</v>
      </c>
    </row>
    <row r="3" spans="1:13" x14ac:dyDescent="0.35">
      <c r="B3" s="18" t="s">
        <v>53</v>
      </c>
      <c r="C3" s="68">
        <v>5.7602006669013814E-3</v>
      </c>
      <c r="D3" s="68">
        <v>2.2105800872995341E-2</v>
      </c>
      <c r="E3" s="68">
        <v>4.8262926577042403E-3</v>
      </c>
      <c r="F3" s="68">
        <v>0.11215548238603752</v>
      </c>
      <c r="G3" s="68">
        <v>5.3210082396035075E-3</v>
      </c>
      <c r="H3" s="68">
        <v>3.7113250313553413E-2</v>
      </c>
      <c r="I3" s="68">
        <v>4.1450142017718534E-3</v>
      </c>
      <c r="J3" s="68">
        <v>6.7777762475380463E-2</v>
      </c>
      <c r="K3" s="68">
        <v>3.6671838984485665E-2</v>
      </c>
      <c r="L3" s="68">
        <v>2.0085034829331948E-2</v>
      </c>
      <c r="M3" s="68">
        <v>4.7021609970109957E-2</v>
      </c>
    </row>
    <row r="4" spans="1:13" x14ac:dyDescent="0.35">
      <c r="B4" s="18" t="s">
        <v>71</v>
      </c>
      <c r="C4" s="68">
        <v>8.0257605836689658E-2</v>
      </c>
      <c r="D4" s="68">
        <v>6.4957403472484368E-2</v>
      </c>
      <c r="E4" s="68">
        <v>1.9146065356773528E-2</v>
      </c>
      <c r="F4" s="68">
        <v>4.7923522506870243E-2</v>
      </c>
      <c r="G4" s="68">
        <v>0.12639483123936154</v>
      </c>
      <c r="H4" s="68">
        <v>6.3340633024790649E-2</v>
      </c>
      <c r="I4" s="68">
        <v>3.95555206075833E-2</v>
      </c>
      <c r="J4" s="68">
        <v>0.1465939731646442</v>
      </c>
      <c r="K4" s="68">
        <v>0.12344844399557559</v>
      </c>
      <c r="L4" s="68">
        <v>1.4352198109274988E-2</v>
      </c>
      <c r="M4" s="68">
        <v>9.1529370820450359E-2</v>
      </c>
    </row>
    <row r="5" spans="1:13" x14ac:dyDescent="0.35">
      <c r="B5" s="18" t="s">
        <v>54</v>
      </c>
      <c r="C5" s="68">
        <v>5.0916500943481234E-2</v>
      </c>
      <c r="D5" s="68">
        <v>8.9104497911555072E-2</v>
      </c>
      <c r="E5" s="68">
        <v>0.12046236639089969</v>
      </c>
      <c r="F5" s="68">
        <v>3.5439507991210005E-2</v>
      </c>
      <c r="G5" s="68">
        <v>3.6933766984002574E-2</v>
      </c>
      <c r="H5" s="68">
        <v>5.276525205556435E-2</v>
      </c>
      <c r="I5" s="68">
        <v>8.5983432612964414E-2</v>
      </c>
      <c r="J5" s="68">
        <v>5.987352311965348E-2</v>
      </c>
      <c r="K5" s="68">
        <v>5.3244439253969093E-2</v>
      </c>
      <c r="L5" s="68">
        <v>3.3638548163093529E-2</v>
      </c>
      <c r="M5" s="68">
        <v>5.6821638757523225E-2</v>
      </c>
    </row>
    <row r="6" spans="1:13" x14ac:dyDescent="0.35">
      <c r="B6" s="18" t="s">
        <v>55</v>
      </c>
      <c r="C6" s="68">
        <v>4.8505017837484152E-3</v>
      </c>
      <c r="D6" s="68">
        <v>3.2232291238517001E-2</v>
      </c>
      <c r="E6" s="68">
        <v>4.6246547156153048E-2</v>
      </c>
      <c r="F6" s="68">
        <v>2.1195418135798089E-2</v>
      </c>
      <c r="G6" s="68">
        <v>1.0476768029529831E-2</v>
      </c>
      <c r="H6" s="68">
        <v>1.712515845384072E-2</v>
      </c>
      <c r="I6" s="68">
        <v>3.3394089497384316E-2</v>
      </c>
      <c r="J6" s="68">
        <v>1.3705849460629598E-2</v>
      </c>
      <c r="K6" s="68">
        <v>2.3416295417511321E-2</v>
      </c>
      <c r="L6" s="68">
        <v>7.3027689068005275E-2</v>
      </c>
      <c r="M6" s="68">
        <v>2.0947084940144779E-2</v>
      </c>
    </row>
    <row r="7" spans="1:13" x14ac:dyDescent="0.35">
      <c r="B7" s="18" t="s">
        <v>56</v>
      </c>
      <c r="C7" s="68">
        <v>7.9639211701407309E-2</v>
      </c>
      <c r="D7" s="68">
        <v>7.298344058786474E-2</v>
      </c>
      <c r="E7" s="68">
        <v>7.8974719544984487E-2</v>
      </c>
      <c r="F7" s="68">
        <v>8.8914236702203622E-2</v>
      </c>
      <c r="G7" s="68">
        <v>7.5771564910420475E-2</v>
      </c>
      <c r="H7" s="68">
        <v>0.12011258157465735</v>
      </c>
      <c r="I7" s="68">
        <v>6.6801540921542168E-2</v>
      </c>
      <c r="J7" s="68">
        <v>0.14016362003818003</v>
      </c>
      <c r="K7" s="68">
        <v>0.16785495837684369</v>
      </c>
      <c r="L7" s="68">
        <v>0.21818265150039848</v>
      </c>
      <c r="M7" s="68">
        <v>0.11694595313825837</v>
      </c>
    </row>
    <row r="8" spans="1:13" x14ac:dyDescent="0.35">
      <c r="B8" s="18" t="s">
        <v>57</v>
      </c>
      <c r="C8" s="68">
        <v>0.60773475190900927</v>
      </c>
      <c r="D8" s="68">
        <v>0.4259701301606057</v>
      </c>
      <c r="E8" s="68">
        <v>0.16320868324715615</v>
      </c>
      <c r="F8" s="68">
        <v>0.4914194228003575</v>
      </c>
      <c r="G8" s="68">
        <v>0.62322287262833842</v>
      </c>
      <c r="H8" s="68">
        <v>0.61117933361591126</v>
      </c>
      <c r="I8" s="68">
        <v>0.60706897027980544</v>
      </c>
      <c r="J8" s="68">
        <v>0.48897661448457458</v>
      </c>
      <c r="K8" s="68">
        <v>0.51601259337094119</v>
      </c>
      <c r="L8" s="68">
        <v>0.53171001356544789</v>
      </c>
      <c r="M8" s="68">
        <v>0.51861083777290329</v>
      </c>
    </row>
    <row r="9" spans="1:13" x14ac:dyDescent="0.35">
      <c r="B9" s="18" t="s">
        <v>5</v>
      </c>
      <c r="C9" s="68">
        <v>0.15834726587622203</v>
      </c>
      <c r="D9" s="68">
        <v>0.27901075858927088</v>
      </c>
      <c r="E9" s="68">
        <v>0.55321906266804555</v>
      </c>
      <c r="F9" s="68">
        <v>0.19265280035141599</v>
      </c>
      <c r="G9" s="68">
        <v>0.10179379321841935</v>
      </c>
      <c r="H9" s="68">
        <v>8.5967233512116714E-2</v>
      </c>
      <c r="I9" s="68">
        <v>0.15872899189670961</v>
      </c>
      <c r="J9" s="68">
        <v>5.3888276489017797E-2</v>
      </c>
      <c r="K9" s="68">
        <v>5.2208990454607362E-2</v>
      </c>
      <c r="L9" s="68">
        <v>9.4667193176454029E-2</v>
      </c>
      <c r="M9" s="68">
        <v>0.12949578526307232</v>
      </c>
    </row>
    <row r="10" spans="1:13" x14ac:dyDescent="0.35">
      <c r="B10" s="18" t="s">
        <v>58</v>
      </c>
      <c r="C10" s="68">
        <v>1.2484559197944433E-2</v>
      </c>
      <c r="D10" s="68">
        <v>1.3635677166706935E-2</v>
      </c>
      <c r="E10" s="68">
        <v>1.3916262978283351E-2</v>
      </c>
      <c r="F10" s="68">
        <v>1.0299609126107011E-2</v>
      </c>
      <c r="G10" s="68">
        <v>2.0085394750324361E-2</v>
      </c>
      <c r="H10" s="68">
        <v>1.2396557449565604E-2</v>
      </c>
      <c r="I10" s="68">
        <v>4.3224399822389212E-3</v>
      </c>
      <c r="J10" s="68">
        <v>2.9020380767920035E-2</v>
      </c>
      <c r="K10" s="68">
        <v>2.7142440146066048E-2</v>
      </c>
      <c r="L10" s="68">
        <v>1.4336671587993888E-2</v>
      </c>
      <c r="M10" s="68">
        <v>1.8627221815435174E-2</v>
      </c>
    </row>
    <row r="11" spans="1:13" x14ac:dyDescent="0.35">
      <c r="B11" s="18" t="s">
        <v>59</v>
      </c>
      <c r="C11" s="68">
        <v>9.4020845962614255E-6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4.9752210247481398E-7</v>
      </c>
    </row>
    <row r="12" spans="1:13" x14ac:dyDescent="0.35">
      <c r="B12" s="23"/>
      <c r="C12" s="21">
        <v>1</v>
      </c>
      <c r="D12" s="21">
        <v>1</v>
      </c>
      <c r="E12" s="21">
        <v>1</v>
      </c>
      <c r="F12" s="21">
        <v>1</v>
      </c>
      <c r="G12" s="21">
        <v>1</v>
      </c>
      <c r="H12" s="21">
        <v>1</v>
      </c>
      <c r="I12" s="21">
        <v>1</v>
      </c>
      <c r="J12" s="21">
        <v>1.0000000000000002</v>
      </c>
      <c r="K12" s="21">
        <v>1</v>
      </c>
      <c r="L12" s="21">
        <v>1</v>
      </c>
      <c r="M12" s="21">
        <v>1</v>
      </c>
    </row>
    <row r="13" spans="1:13" x14ac:dyDescent="0.35">
      <c r="C13" s="30"/>
      <c r="D13" s="30"/>
      <c r="E13" s="30"/>
      <c r="F13" s="30"/>
      <c r="G13" s="30"/>
      <c r="H13" s="30"/>
      <c r="I13" s="30"/>
    </row>
    <row r="17" spans="2:9" x14ac:dyDescent="0.35">
      <c r="B17" s="28"/>
      <c r="C17" s="28"/>
      <c r="D17" s="28"/>
      <c r="E17" s="28"/>
      <c r="F17" s="28"/>
      <c r="G17" s="28"/>
      <c r="H17" s="28"/>
      <c r="I17" s="28"/>
    </row>
    <row r="18" spans="2:9" x14ac:dyDescent="0.35">
      <c r="B18" s="28"/>
      <c r="C18" s="28"/>
      <c r="D18" s="28"/>
      <c r="E18" s="28"/>
      <c r="F18" s="28"/>
      <c r="G18" s="28"/>
      <c r="H18" s="28"/>
      <c r="I18" s="28"/>
    </row>
    <row r="19" spans="2:9" x14ac:dyDescent="0.35">
      <c r="B19" s="28"/>
      <c r="C19" s="28"/>
      <c r="D19" s="28"/>
      <c r="E19" s="28"/>
      <c r="F19" s="28"/>
      <c r="G19" s="28"/>
      <c r="H19" s="28"/>
      <c r="I19" s="28"/>
    </row>
    <row r="20" spans="2:9" x14ac:dyDescent="0.35">
      <c r="B20" s="28"/>
      <c r="C20" s="28"/>
      <c r="D20" s="28"/>
      <c r="E20" s="28"/>
      <c r="F20" s="28"/>
      <c r="G20" s="28"/>
      <c r="H20" s="28"/>
      <c r="I20" s="28"/>
    </row>
    <row r="21" spans="2:9" x14ac:dyDescent="0.35">
      <c r="B21" s="28"/>
      <c r="C21" s="28"/>
      <c r="D21" s="28"/>
      <c r="E21" s="28"/>
      <c r="F21" s="28"/>
      <c r="G21" s="28"/>
      <c r="H21" s="28"/>
      <c r="I21" s="28"/>
    </row>
    <row r="22" spans="2:9" x14ac:dyDescent="0.35">
      <c r="B22" s="28"/>
      <c r="C22" s="28"/>
      <c r="D22" s="28"/>
      <c r="E22" s="28"/>
      <c r="F22" s="28"/>
      <c r="G22" s="28"/>
      <c r="H22" s="28"/>
      <c r="I22" s="28"/>
    </row>
    <row r="23" spans="2:9" x14ac:dyDescent="0.35">
      <c r="B23" s="28"/>
      <c r="C23" s="28"/>
      <c r="D23" s="28"/>
      <c r="E23" s="28"/>
      <c r="F23" s="28"/>
      <c r="G23" s="28"/>
      <c r="H23" s="28"/>
      <c r="I23" s="28"/>
    </row>
    <row r="24" spans="2:9" x14ac:dyDescent="0.35">
      <c r="B24" s="28"/>
      <c r="C24" s="28"/>
      <c r="D24" s="28"/>
      <c r="E24" s="28"/>
      <c r="F24" s="28"/>
      <c r="G24" s="28"/>
      <c r="H24" s="28"/>
      <c r="I24" s="28"/>
    </row>
    <row r="25" spans="2:9" x14ac:dyDescent="0.35">
      <c r="B25" s="28"/>
      <c r="C25" s="28"/>
      <c r="D25" s="28"/>
      <c r="E25" s="28"/>
      <c r="F25" s="28"/>
      <c r="G25" s="28"/>
      <c r="H25" s="28"/>
      <c r="I25" s="28"/>
    </row>
    <row r="26" spans="2:9" x14ac:dyDescent="0.35">
      <c r="B26" s="28"/>
      <c r="C26" s="28"/>
      <c r="D26" s="28"/>
      <c r="E26" s="28"/>
      <c r="F26" s="28"/>
      <c r="G26" s="28"/>
      <c r="H26" s="28"/>
      <c r="I26" s="28"/>
    </row>
    <row r="27" spans="2:9" x14ac:dyDescent="0.35">
      <c r="B27" s="28"/>
      <c r="C27" s="28"/>
      <c r="D27" s="28"/>
      <c r="E27" s="28"/>
      <c r="F27" s="28"/>
      <c r="G27" s="28"/>
      <c r="H27" s="28"/>
      <c r="I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7"/>
  <sheetViews>
    <sheetView workbookViewId="0">
      <selection activeCell="D19" sqref="D19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54296875" style="15" customWidth="1"/>
    <col min="6" max="6" width="15.6328125" style="15" bestFit="1" customWidth="1"/>
    <col min="7" max="7" width="14.6328125" style="15" bestFit="1" customWidth="1"/>
    <col min="8" max="8" width="11" style="15" bestFit="1" customWidth="1"/>
    <col min="9" max="11" width="11.26953125" style="15" bestFit="1" customWidth="1"/>
    <col min="12" max="12" width="11.7265625" style="28" customWidth="1"/>
    <col min="13" max="16384" width="9.1796875" style="28"/>
  </cols>
  <sheetData>
    <row r="1" spans="1:14" x14ac:dyDescent="0.35">
      <c r="A1" s="39" t="str">
        <f>'Fixed rate bond (Values)'!A1</f>
        <v>27 June 2025</v>
      </c>
    </row>
    <row r="2" spans="1:14" x14ac:dyDescent="0.35">
      <c r="A2" s="17"/>
      <c r="B2" s="18" t="s">
        <v>40</v>
      </c>
      <c r="C2" s="18" t="s">
        <v>75</v>
      </c>
      <c r="D2" s="53" t="s">
        <v>79</v>
      </c>
      <c r="E2" s="53" t="s">
        <v>91</v>
      </c>
      <c r="F2" s="53" t="s">
        <v>52</v>
      </c>
      <c r="L2" s="15"/>
      <c r="M2" s="15"/>
    </row>
    <row r="3" spans="1:14" x14ac:dyDescent="0.35">
      <c r="B3" s="18" t="s">
        <v>53</v>
      </c>
      <c r="C3" s="64">
        <v>214814011</v>
      </c>
      <c r="D3" s="64">
        <v>617970000</v>
      </c>
      <c r="E3" s="64">
        <v>142030000</v>
      </c>
      <c r="F3" s="54">
        <v>974814011</v>
      </c>
      <c r="L3" s="15"/>
      <c r="M3" s="15"/>
      <c r="N3" s="50"/>
    </row>
    <row r="4" spans="1:14" x14ac:dyDescent="0.35">
      <c r="B4" s="18" t="s">
        <v>71</v>
      </c>
      <c r="C4" s="64">
        <v>50261364877</v>
      </c>
      <c r="D4" s="64">
        <v>54510291227</v>
      </c>
      <c r="E4" s="64">
        <v>13345000000</v>
      </c>
      <c r="F4" s="54">
        <v>118116656104</v>
      </c>
      <c r="L4" s="15"/>
      <c r="M4" s="15"/>
      <c r="N4" s="50"/>
    </row>
    <row r="5" spans="1:14" x14ac:dyDescent="0.35">
      <c r="B5" s="18" t="s">
        <v>54</v>
      </c>
      <c r="C5" s="64">
        <v>1475440000</v>
      </c>
      <c r="D5" s="64">
        <v>7650923000</v>
      </c>
      <c r="E5" s="64">
        <v>1423384000</v>
      </c>
      <c r="F5" s="54">
        <v>10549747000</v>
      </c>
      <c r="L5" s="15"/>
      <c r="M5" s="15"/>
      <c r="N5" s="50"/>
    </row>
    <row r="6" spans="1:14" x14ac:dyDescent="0.35">
      <c r="B6" s="18" t="s">
        <v>55</v>
      </c>
      <c r="C6" s="64">
        <v>1412350000</v>
      </c>
      <c r="D6" s="64">
        <v>650427000</v>
      </c>
      <c r="E6" s="64">
        <v>400376000</v>
      </c>
      <c r="F6" s="54">
        <v>2463153000</v>
      </c>
      <c r="L6" s="15"/>
      <c r="M6" s="15"/>
      <c r="N6" s="50"/>
    </row>
    <row r="7" spans="1:14" x14ac:dyDescent="0.35">
      <c r="B7" s="18" t="s">
        <v>56</v>
      </c>
      <c r="C7" s="64">
        <v>113300000</v>
      </c>
      <c r="D7" s="64">
        <v>776296000</v>
      </c>
      <c r="E7" s="64">
        <v>100180000</v>
      </c>
      <c r="F7" s="54">
        <v>989776000</v>
      </c>
      <c r="L7" s="15"/>
      <c r="M7" s="15"/>
      <c r="N7" s="50"/>
    </row>
    <row r="8" spans="1:14" x14ac:dyDescent="0.35">
      <c r="B8" s="18" t="s">
        <v>57</v>
      </c>
      <c r="C8" s="64">
        <v>43000000</v>
      </c>
      <c r="D8" s="64">
        <v>397267000</v>
      </c>
      <c r="E8" s="64">
        <v>66000000</v>
      </c>
      <c r="F8" s="54">
        <v>506267000</v>
      </c>
      <c r="L8" s="15"/>
      <c r="M8" s="15"/>
      <c r="N8" s="50"/>
    </row>
    <row r="9" spans="1:14" x14ac:dyDescent="0.35">
      <c r="B9" s="18" t="s">
        <v>5</v>
      </c>
      <c r="C9" s="64">
        <v>17478532509</v>
      </c>
      <c r="D9" s="64">
        <v>47244325773</v>
      </c>
      <c r="E9" s="64">
        <v>21406730000</v>
      </c>
      <c r="F9" s="54">
        <v>86129588282</v>
      </c>
      <c r="L9" s="15"/>
      <c r="M9" s="15"/>
      <c r="N9" s="50"/>
    </row>
    <row r="10" spans="1:14" x14ac:dyDescent="0.35">
      <c r="B10" s="18" t="s">
        <v>58</v>
      </c>
      <c r="C10" s="64">
        <v>76198603</v>
      </c>
      <c r="D10" s="64">
        <v>592500000</v>
      </c>
      <c r="E10" s="64">
        <v>341300000</v>
      </c>
      <c r="F10" s="54">
        <v>1009998603</v>
      </c>
      <c r="L10" s="15"/>
      <c r="M10" s="15"/>
      <c r="N10" s="50"/>
    </row>
    <row r="11" spans="1:14" x14ac:dyDescent="0.35">
      <c r="B11" s="19" t="s">
        <v>59</v>
      </c>
      <c r="C11" s="65">
        <v>0</v>
      </c>
      <c r="D11" s="65">
        <v>0</v>
      </c>
      <c r="E11" s="65">
        <v>0</v>
      </c>
      <c r="F11" s="54">
        <v>0</v>
      </c>
      <c r="L11" s="15"/>
      <c r="M11" s="15"/>
      <c r="N11" s="50"/>
    </row>
    <row r="12" spans="1:14" x14ac:dyDescent="0.35">
      <c r="B12" s="19"/>
      <c r="C12" s="20">
        <v>71075000000</v>
      </c>
      <c r="D12" s="20">
        <v>112440000000</v>
      </c>
      <c r="E12" s="20">
        <v>37225000000</v>
      </c>
      <c r="F12" s="54">
        <v>220740000000</v>
      </c>
      <c r="G12" s="26"/>
      <c r="L12" s="15"/>
      <c r="M12" s="15"/>
    </row>
    <row r="13" spans="1:14" x14ac:dyDescent="0.35">
      <c r="C13" s="30"/>
      <c r="D13" s="30"/>
      <c r="E13" s="30"/>
      <c r="L13" s="15"/>
      <c r="M13" s="15"/>
    </row>
    <row r="17" spans="2:11" x14ac:dyDescent="0.35"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2:11" x14ac:dyDescent="0.35"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pans="2:11" x14ac:dyDescent="0.35"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2:11" x14ac:dyDescent="0.35"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spans="2:11" x14ac:dyDescent="0.35"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2:11" x14ac:dyDescent="0.35"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2:11" x14ac:dyDescent="0.35"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2:11" x14ac:dyDescent="0.35"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2:11" x14ac:dyDescent="0.35"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spans="2:11" x14ac:dyDescent="0.35"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2:11" x14ac:dyDescent="0.35">
      <c r="B27" s="28"/>
      <c r="C27" s="28"/>
      <c r="D27" s="28"/>
      <c r="E27" s="28"/>
      <c r="F27" s="28"/>
      <c r="G27" s="28"/>
      <c r="H27" s="28"/>
      <c r="I27" s="28"/>
      <c r="J27" s="28"/>
      <c r="K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workbookViewId="0">
      <selection activeCell="C4" sqref="C4:F12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3" width="13.26953125" style="15" customWidth="1"/>
    <col min="4" max="4" width="13.26953125" style="15" bestFit="1" customWidth="1"/>
    <col min="5" max="5" width="13.26953125" style="15" customWidth="1"/>
    <col min="6" max="16384" width="8.7265625" style="15"/>
  </cols>
  <sheetData>
    <row r="1" spans="1:6" ht="14" x14ac:dyDescent="0.3">
      <c r="A1" s="39" t="str">
        <f>'Fixed rate bond (Values)'!A1</f>
        <v>27 June 2025</v>
      </c>
    </row>
    <row r="3" spans="1:6" ht="13" x14ac:dyDescent="0.3">
      <c r="B3" s="18" t="s">
        <v>40</v>
      </c>
      <c r="C3" s="22" t="s">
        <v>75</v>
      </c>
      <c r="D3" s="43" t="s">
        <v>79</v>
      </c>
      <c r="E3" s="43" t="s">
        <v>91</v>
      </c>
      <c r="F3" s="43" t="s">
        <v>70</v>
      </c>
    </row>
    <row r="4" spans="1:6" ht="13" x14ac:dyDescent="0.3">
      <c r="B4" s="18" t="s">
        <v>53</v>
      </c>
      <c r="C4" s="67">
        <v>3.0223568202602884E-3</v>
      </c>
      <c r="D4" s="70">
        <v>5.4959978655282817E-3</v>
      </c>
      <c r="E4" s="70">
        <v>3.8154466084620552E-3</v>
      </c>
      <c r="F4" s="69">
        <v>4.416118560297182E-3</v>
      </c>
    </row>
    <row r="5" spans="1:6" ht="13" x14ac:dyDescent="0.3">
      <c r="B5" s="18" t="s">
        <v>71</v>
      </c>
      <c r="C5" s="67">
        <v>0.70715954804080194</v>
      </c>
      <c r="D5" s="70">
        <v>0.48479447907328355</v>
      </c>
      <c r="E5" s="70">
        <v>0.35849563465413031</v>
      </c>
      <c r="F5" s="69">
        <v>0.53509402964573705</v>
      </c>
    </row>
    <row r="6" spans="1:6" ht="13" x14ac:dyDescent="0.3">
      <c r="B6" s="18" t="s">
        <v>54</v>
      </c>
      <c r="C6" s="67">
        <v>2.0758916637354907E-2</v>
      </c>
      <c r="D6" s="70">
        <v>6.8044494841693351E-2</v>
      </c>
      <c r="E6" s="70">
        <v>3.8237313633310947E-2</v>
      </c>
      <c r="F6" s="69">
        <v>4.7792638398115428E-2</v>
      </c>
    </row>
    <row r="7" spans="1:6" ht="13" x14ac:dyDescent="0.3">
      <c r="B7" s="18" t="s">
        <v>55</v>
      </c>
      <c r="C7" s="67">
        <v>1.9871262750615546E-2</v>
      </c>
      <c r="D7" s="70">
        <v>5.7846584845250805E-3</v>
      </c>
      <c r="E7" s="70">
        <v>1.0755567494963062E-2</v>
      </c>
      <c r="F7" s="69">
        <v>1.1158616471867356E-2</v>
      </c>
    </row>
    <row r="8" spans="1:6" ht="13" x14ac:dyDescent="0.3">
      <c r="B8" s="18" t="s">
        <v>56</v>
      </c>
      <c r="C8" s="67">
        <v>1.5940907492085826E-3</v>
      </c>
      <c r="D8" s="70">
        <v>6.9040910707933124E-3</v>
      </c>
      <c r="E8" s="70">
        <v>2.6912021490933511E-3</v>
      </c>
      <c r="F8" s="69">
        <v>4.4838996104013774E-3</v>
      </c>
    </row>
    <row r="9" spans="1:6" ht="13" x14ac:dyDescent="0.3">
      <c r="B9" s="18" t="s">
        <v>57</v>
      </c>
      <c r="C9" s="67">
        <v>6.04994723883222E-4</v>
      </c>
      <c r="D9" s="70">
        <v>3.5331465670579865E-3</v>
      </c>
      <c r="E9" s="70">
        <v>1.7730020147750168E-3</v>
      </c>
      <c r="F9" s="69">
        <v>2.2934991392588567E-3</v>
      </c>
    </row>
    <row r="10" spans="1:6" ht="13" x14ac:dyDescent="0.3">
      <c r="B10" s="18" t="s">
        <v>5</v>
      </c>
      <c r="C10" s="67">
        <v>0.24591674300386915</v>
      </c>
      <c r="D10" s="70">
        <v>0.42017365504268944</v>
      </c>
      <c r="E10" s="70">
        <v>0.5750632639355272</v>
      </c>
      <c r="F10" s="69">
        <v>0.39018568579324092</v>
      </c>
    </row>
    <row r="11" spans="1:6" ht="13" x14ac:dyDescent="0.3">
      <c r="B11" s="18" t="s">
        <v>58</v>
      </c>
      <c r="C11" s="67">
        <v>1.0720872740063313E-3</v>
      </c>
      <c r="D11" s="70">
        <v>5.2694770544290288E-3</v>
      </c>
      <c r="E11" s="70">
        <v>9.1685695097380795E-3</v>
      </c>
      <c r="F11" s="69">
        <v>4.5755123810818157E-3</v>
      </c>
    </row>
    <row r="12" spans="1:6" ht="13" x14ac:dyDescent="0.3">
      <c r="B12" s="18" t="s">
        <v>59</v>
      </c>
      <c r="C12" s="67">
        <v>0</v>
      </c>
      <c r="D12" s="70">
        <v>0</v>
      </c>
      <c r="E12" s="70">
        <v>0</v>
      </c>
      <c r="F12" s="69">
        <v>0</v>
      </c>
    </row>
    <row r="13" spans="1:6" ht="13" x14ac:dyDescent="0.3">
      <c r="B13" s="23"/>
      <c r="C13" s="21">
        <v>1</v>
      </c>
      <c r="D13" s="21">
        <v>1</v>
      </c>
      <c r="E13" s="21">
        <v>1</v>
      </c>
      <c r="F13" s="21">
        <v>1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E17" sqref="E17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59" bestFit="1" customWidth="1"/>
  </cols>
  <sheetData>
    <row r="1" spans="1:7" x14ac:dyDescent="0.35">
      <c r="A1" s="63" t="str">
        <f>'FRN % (Values)'!A1</f>
        <v>27 June 2025</v>
      </c>
    </row>
    <row r="2" spans="1:7" x14ac:dyDescent="0.35">
      <c r="B2" s="18" t="s">
        <v>40</v>
      </c>
      <c r="C2" s="18" t="s">
        <v>84</v>
      </c>
      <c r="D2" s="53" t="s">
        <v>85</v>
      </c>
      <c r="E2" s="53" t="s">
        <v>86</v>
      </c>
      <c r="F2" s="53" t="s">
        <v>87</v>
      </c>
      <c r="G2" s="18" t="s">
        <v>52</v>
      </c>
    </row>
    <row r="3" spans="1:7" x14ac:dyDescent="0.35">
      <c r="B3" s="18" t="s">
        <v>53</v>
      </c>
      <c r="C3" s="64">
        <v>0</v>
      </c>
      <c r="D3" s="64">
        <v>0</v>
      </c>
      <c r="E3" s="64">
        <v>0</v>
      </c>
      <c r="F3" s="64">
        <v>0</v>
      </c>
      <c r="G3" s="53">
        <v>0</v>
      </c>
    </row>
    <row r="4" spans="1:7" x14ac:dyDescent="0.35">
      <c r="B4" s="18" t="s">
        <v>71</v>
      </c>
      <c r="C4" s="64">
        <v>5863785000</v>
      </c>
      <c r="D4" s="64">
        <v>7877000000</v>
      </c>
      <c r="E4" s="64">
        <v>1240000000</v>
      </c>
      <c r="F4" s="64">
        <v>621000000</v>
      </c>
      <c r="G4" s="53">
        <v>15601785000</v>
      </c>
    </row>
    <row r="5" spans="1:7" x14ac:dyDescent="0.35">
      <c r="B5" s="18" t="s">
        <v>54</v>
      </c>
      <c r="C5" s="64">
        <v>28500000</v>
      </c>
      <c r="D5" s="64">
        <v>30345000</v>
      </c>
      <c r="E5" s="64">
        <v>30700000</v>
      </c>
      <c r="F5" s="64">
        <v>0</v>
      </c>
      <c r="G5" s="53">
        <v>89545000</v>
      </c>
    </row>
    <row r="6" spans="1:7" x14ac:dyDescent="0.35">
      <c r="B6" s="18" t="s">
        <v>55</v>
      </c>
      <c r="C6" s="64">
        <v>0</v>
      </c>
      <c r="D6" s="64">
        <v>0</v>
      </c>
      <c r="E6" s="64">
        <v>0</v>
      </c>
      <c r="F6" s="64">
        <v>0</v>
      </c>
      <c r="G6" s="53">
        <v>0</v>
      </c>
    </row>
    <row r="7" spans="1:7" x14ac:dyDescent="0.35">
      <c r="B7" s="18" t="s">
        <v>56</v>
      </c>
      <c r="C7" s="64">
        <v>0</v>
      </c>
      <c r="D7" s="64">
        <v>9597459</v>
      </c>
      <c r="E7" s="64">
        <v>9592090</v>
      </c>
      <c r="F7" s="64">
        <v>0</v>
      </c>
      <c r="G7" s="53">
        <v>19189549</v>
      </c>
    </row>
    <row r="8" spans="1:7" x14ac:dyDescent="0.35">
      <c r="B8" s="18" t="s">
        <v>57</v>
      </c>
      <c r="C8" s="64">
        <v>35000000</v>
      </c>
      <c r="D8" s="64">
        <v>0</v>
      </c>
      <c r="E8" s="64">
        <v>97000000</v>
      </c>
      <c r="F8" s="64">
        <v>138000000</v>
      </c>
      <c r="G8" s="53">
        <v>270000000</v>
      </c>
    </row>
    <row r="9" spans="1:7" x14ac:dyDescent="0.35">
      <c r="B9" s="18" t="s">
        <v>5</v>
      </c>
      <c r="C9" s="64">
        <v>1562715000</v>
      </c>
      <c r="D9" s="64">
        <v>917016618</v>
      </c>
      <c r="E9" s="64">
        <v>1096617910</v>
      </c>
      <c r="F9" s="64">
        <v>783000000</v>
      </c>
      <c r="G9" s="53">
        <v>4359349528</v>
      </c>
    </row>
    <row r="10" spans="1:7" x14ac:dyDescent="0.35">
      <c r="B10" s="18" t="s">
        <v>58</v>
      </c>
      <c r="C10" s="64">
        <v>0</v>
      </c>
      <c r="D10" s="64">
        <v>32040923</v>
      </c>
      <c r="E10" s="64">
        <v>5090000</v>
      </c>
      <c r="F10" s="64">
        <v>9000000</v>
      </c>
      <c r="G10" s="53">
        <v>46130923</v>
      </c>
    </row>
    <row r="11" spans="1:7" x14ac:dyDescent="0.35">
      <c r="B11" s="19" t="s">
        <v>59</v>
      </c>
      <c r="C11" s="65">
        <v>0</v>
      </c>
      <c r="D11" s="65">
        <v>0</v>
      </c>
      <c r="E11" s="65">
        <v>0</v>
      </c>
      <c r="F11" s="65">
        <v>0</v>
      </c>
      <c r="G11" s="53">
        <v>0</v>
      </c>
    </row>
    <row r="12" spans="1:7" x14ac:dyDescent="0.35">
      <c r="B12" s="19"/>
      <c r="C12" s="20">
        <v>7490000000</v>
      </c>
      <c r="D12" s="20">
        <v>8866000000</v>
      </c>
      <c r="E12" s="20">
        <v>2479000000</v>
      </c>
      <c r="F12" s="20">
        <v>1551000000</v>
      </c>
      <c r="G12" s="20"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E18" sqref="E18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59"/>
  </cols>
  <sheetData>
    <row r="1" spans="1:7" x14ac:dyDescent="0.35">
      <c r="A1" s="63" t="str">
        <f>'Sukuk (Values)'!A1</f>
        <v>27 June 2025</v>
      </c>
    </row>
    <row r="2" spans="1:7" x14ac:dyDescent="0.35">
      <c r="B2" s="18" t="s">
        <v>40</v>
      </c>
      <c r="C2" s="22" t="s">
        <v>84</v>
      </c>
      <c r="D2" s="43" t="s">
        <v>85</v>
      </c>
      <c r="E2" s="43" t="s">
        <v>86</v>
      </c>
      <c r="F2" s="43" t="s">
        <v>87</v>
      </c>
      <c r="G2" s="22" t="s">
        <v>70</v>
      </c>
    </row>
    <row r="3" spans="1:7" x14ac:dyDescent="0.35">
      <c r="B3" s="18" t="s">
        <v>53</v>
      </c>
      <c r="C3" s="67">
        <v>0</v>
      </c>
      <c r="D3" s="67">
        <v>0</v>
      </c>
      <c r="E3" s="67">
        <v>0</v>
      </c>
      <c r="F3" s="67">
        <v>0</v>
      </c>
      <c r="G3" s="69">
        <v>0</v>
      </c>
    </row>
    <row r="4" spans="1:7" x14ac:dyDescent="0.35">
      <c r="B4" s="18" t="s">
        <v>71</v>
      </c>
      <c r="C4" s="67">
        <v>0.78288184245660886</v>
      </c>
      <c r="D4" s="67">
        <v>0.88845025941800138</v>
      </c>
      <c r="E4" s="67">
        <v>0.50020169423154492</v>
      </c>
      <c r="F4" s="67">
        <v>0.40038684719535783</v>
      </c>
      <c r="G4" s="69">
        <v>0.76531860100068672</v>
      </c>
    </row>
    <row r="5" spans="1:7" x14ac:dyDescent="0.35">
      <c r="B5" s="18" t="s">
        <v>54</v>
      </c>
      <c r="C5" s="67">
        <v>3.8050734312416556E-3</v>
      </c>
      <c r="D5" s="67">
        <v>3.4226257613354386E-3</v>
      </c>
      <c r="E5" s="67">
        <v>1.2384025816861637E-2</v>
      </c>
      <c r="F5" s="67">
        <v>0</v>
      </c>
      <c r="G5" s="69">
        <v>4.3924752280977142E-3</v>
      </c>
    </row>
    <row r="6" spans="1:7" x14ac:dyDescent="0.35">
      <c r="B6" s="18" t="s">
        <v>55</v>
      </c>
      <c r="C6" s="67">
        <v>0</v>
      </c>
      <c r="D6" s="67">
        <v>0</v>
      </c>
      <c r="E6" s="67">
        <v>0</v>
      </c>
      <c r="F6" s="67">
        <v>0</v>
      </c>
      <c r="G6" s="69">
        <v>0</v>
      </c>
    </row>
    <row r="7" spans="1:7" x14ac:dyDescent="0.35">
      <c r="B7" s="18" t="s">
        <v>56</v>
      </c>
      <c r="C7" s="67">
        <v>0</v>
      </c>
      <c r="D7" s="67">
        <v>1.0825015790660952E-3</v>
      </c>
      <c r="E7" s="67">
        <v>3.8693384429205327E-3</v>
      </c>
      <c r="F7" s="67">
        <v>0</v>
      </c>
      <c r="G7" s="69">
        <v>9.4131016383792803E-4</v>
      </c>
    </row>
    <row r="8" spans="1:7" x14ac:dyDescent="0.35">
      <c r="B8" s="18" t="s">
        <v>57</v>
      </c>
      <c r="C8" s="67">
        <v>4.6728971962616819E-3</v>
      </c>
      <c r="D8" s="67">
        <v>0</v>
      </c>
      <c r="E8" s="67">
        <v>3.9128680919725697E-2</v>
      </c>
      <c r="F8" s="67">
        <v>8.8974854932301742E-2</v>
      </c>
      <c r="G8" s="69">
        <v>1.3244383400372805E-2</v>
      </c>
    </row>
    <row r="9" spans="1:7" x14ac:dyDescent="0.35">
      <c r="B9" s="18" t="s">
        <v>5</v>
      </c>
      <c r="C9" s="67">
        <v>0.20864018691588784</v>
      </c>
      <c r="D9" s="67">
        <v>0.10343070358673584</v>
      </c>
      <c r="E9" s="67">
        <v>0.44236301331181926</v>
      </c>
      <c r="F9" s="67">
        <v>0.50483558994197297</v>
      </c>
      <c r="G9" s="69">
        <v>0.21384035750024527</v>
      </c>
    </row>
    <row r="10" spans="1:7" x14ac:dyDescent="0.35">
      <c r="B10" s="18" t="s">
        <v>58</v>
      </c>
      <c r="C10" s="67">
        <v>0</v>
      </c>
      <c r="D10" s="67">
        <v>3.6139096548612679E-3</v>
      </c>
      <c r="E10" s="67">
        <v>2.0532472771278743E-3</v>
      </c>
      <c r="F10" s="67">
        <v>5.8027079303675051E-3</v>
      </c>
      <c r="G10" s="69">
        <v>2.2628727067595411E-3</v>
      </c>
    </row>
    <row r="11" spans="1:7" x14ac:dyDescent="0.35">
      <c r="B11" s="18" t="s">
        <v>59</v>
      </c>
      <c r="C11" s="67">
        <v>0</v>
      </c>
      <c r="D11" s="67">
        <v>0</v>
      </c>
      <c r="E11" s="67">
        <v>0</v>
      </c>
      <c r="F11" s="67">
        <v>0</v>
      </c>
      <c r="G11" s="69">
        <v>0</v>
      </c>
    </row>
    <row r="12" spans="1:7" x14ac:dyDescent="0.35">
      <c r="B12" s="23"/>
      <c r="C12" s="21">
        <v>1</v>
      </c>
      <c r="D12" s="21">
        <v>1</v>
      </c>
      <c r="E12" s="21">
        <v>1</v>
      </c>
      <c r="F12" s="21">
        <v>1</v>
      </c>
      <c r="G12" s="2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A17855-087F-4350-8D3A-7CB6FC8CCC77}">
  <ds:schemaRefs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David Milne</cp:lastModifiedBy>
  <dcterms:created xsi:type="dcterms:W3CDTF">2016-03-09T09:54:02Z</dcterms:created>
  <dcterms:modified xsi:type="dcterms:W3CDTF">2025-07-02T11:10:07Z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