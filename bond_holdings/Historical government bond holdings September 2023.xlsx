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13_ncr:1_{A4307F11-9B83-497B-82D7-48043FBA3F90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E12" i="5"/>
  <c r="F12" i="5"/>
  <c r="G12" i="5"/>
  <c r="H12" i="5"/>
  <c r="I12" i="5"/>
  <c r="J12" i="5"/>
  <c r="K12" i="5"/>
  <c r="L12" i="5"/>
  <c r="M12" i="5"/>
  <c r="N12" i="5"/>
  <c r="O12" i="5"/>
  <c r="C12" i="5"/>
  <c r="O4" i="4"/>
  <c r="O5" i="4"/>
  <c r="O6" i="4"/>
  <c r="O7" i="4"/>
  <c r="O8" i="4"/>
  <c r="O9" i="4"/>
  <c r="O10" i="4"/>
  <c r="O11" i="4"/>
  <c r="O3" i="4"/>
  <c r="O12" i="4" s="1"/>
  <c r="D12" i="4"/>
  <c r="E12" i="4"/>
  <c r="F12" i="4"/>
  <c r="G12" i="4"/>
  <c r="H12" i="4"/>
  <c r="I12" i="4"/>
  <c r="J12" i="4"/>
  <c r="K12" i="4"/>
  <c r="L12" i="4"/>
  <c r="M12" i="4"/>
  <c r="N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12" i="2" s="1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<sst xmlns="http://schemas.openxmlformats.org/spreadsheetml/2006/main" count="293" uniqueCount="85">
  <si>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</si>
  <si>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</si>
  <si>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</si>
  <si>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</si>
  <si>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</si>
  <si>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</si>
  <si>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</si>
  <si>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</si>
  <si>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</si>
  <si>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</si>
  <si>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</si>
  <si>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</si>
  <si>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</si>
  <si>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</si>
  <si>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</si>
  <si>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</si>
  <si>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</si>
  <si>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</si>
  <si>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</si>
  <si>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</si>
  <si>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</si>
  <si>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</si>
  <si>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</si>
  <si>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</si>
  <si>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</si>
  <si>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</si>
  <si>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</si>
  <si>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</si>
  <si>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</si>
  <si>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</si>
  <si>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</si>
  <si>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</si>
  <si>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</si>
  <si>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</si>
  <si>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</si>
  <si>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</si>
  <si>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</si>
  <si>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</si>
  <si>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</si>
  <si>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</si>
  <si>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</si>
  <si>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</si>
  <si>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</si>
  <si>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</si>
  <si>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</si>
  <si>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</si>
  <si>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</si>
  <si>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</si>
  <si>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</si>
  <si>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</si>
  <si>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</si>
  <si>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</si>
  <si>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</si>
  <si>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</si>
  <si>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</si>
  <si>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</si>
  <si>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</si>
  <si>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</si>
  <si>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</si>
  <si>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</si>
  <si>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</si>
  <si>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</si>
  <si>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</si>
  <si>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</si>
  <si>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</si>
  <si>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</si>
  <si>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</si>
  <si>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</si>
  <si>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</si>
  <si>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</si>
  <si>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</si>
  <si>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</si>
  <si>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</si>
  <si>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</si>
  <si>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</si>
  <si>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</si>
  <si>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</si>
  <si>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</si>
  <si>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</si>
  <si>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</si>
  <si>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</si>
  <si>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</si>
  <si>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29 September 2023</t>
  </si>
  <si>
    <t>I2043 (2043)</t>
  </si>
  <si>
    <t>I2058 (2058)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</si>
</sst>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workbookViewId="0">
      <pane ySplit="1" topLeftCell="A148" activePane="bottomLeft" state="frozen"/>
      <selection pane="bottomLeft" activeCell="E164" sqref="E164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69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70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71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74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75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76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0.20365189043416121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78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0.25245206720060603</v>
      </c>
      <c r="D156" s="6">
        <v>0.2088088728717479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opLeftCell="H1" workbookViewId="0">
      <selection activeCell="O3" sqref="O3:O11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82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79</v>
      </c>
      <c r="O2" s="57" t="s">
        <v>52</v>
      </c>
    </row>
    <row r="3" spans="1:16" x14ac:dyDescent="0.35">
      <c r="B3" s="18" t="s">
        <v>53</v>
      </c>
      <c r="C3" s="51">
        <v>136439020478.89</v>
      </c>
      <c r="D3" s="51">
        <v>110677336491</v>
      </c>
      <c r="E3" s="51">
        <v>58674727658</v>
      </c>
      <c r="F3" s="51">
        <v>80837413949</v>
      </c>
      <c r="G3" s="51">
        <v>93246923529</v>
      </c>
      <c r="H3" s="51">
        <v>29634301066</v>
      </c>
      <c r="I3" s="51">
        <v>78268463018</v>
      </c>
      <c r="J3" s="51">
        <v>55322610886</v>
      </c>
      <c r="K3" s="51">
        <v>46293812250</v>
      </c>
      <c r="L3" s="51">
        <v>59097721747</v>
      </c>
      <c r="M3" s="51">
        <v>91453055207</v>
      </c>
      <c r="N3" s="50">
        <v>6919612713</v>
      </c>
      <c r="O3" s="60">
        <f>SUM(C3:N3)</f>
        <v>846864998992.89001</v>
      </c>
      <c r="P3" s="55"/>
    </row>
    <row r="4" spans="1:16" x14ac:dyDescent="0.35">
      <c r="B4" s="18" t="s">
        <v>73</v>
      </c>
      <c r="C4" s="51">
        <v>102690630175.64999</v>
      </c>
      <c r="D4" s="51">
        <v>88124310116.529999</v>
      </c>
      <c r="E4" s="51">
        <v>54534472819</v>
      </c>
      <c r="F4" s="51">
        <v>69670674896.199997</v>
      </c>
      <c r="G4" s="51">
        <v>38828187570.800003</v>
      </c>
      <c r="H4" s="51">
        <v>14843497119</v>
      </c>
      <c r="I4" s="51">
        <v>30639853741.689999</v>
      </c>
      <c r="J4" s="51">
        <v>31226415910</v>
      </c>
      <c r="K4" s="51">
        <v>12435920415</v>
      </c>
      <c r="L4" s="51">
        <v>24449318812.099998</v>
      </c>
      <c r="M4" s="51">
        <v>120570413855.58</v>
      </c>
      <c r="N4" s="50">
        <v>1917669182</v>
      </c>
      <c r="O4" s="60">
        <f t="shared" ref="O4:O11" si="0">SUM(C4:N4)</f>
        <v>589931364613.54993</v>
      </c>
    </row>
    <row r="5" spans="1:16" x14ac:dyDescent="0.35">
      <c r="B5" s="18" t="s">
        <v>54</v>
      </c>
      <c r="C5" s="51">
        <v>19357168665.900002</v>
      </c>
      <c r="D5" s="51">
        <v>11121118998</v>
      </c>
      <c r="E5" s="51">
        <v>6619457348</v>
      </c>
      <c r="F5" s="51">
        <v>11941781584</v>
      </c>
      <c r="G5" s="51">
        <v>17038936339</v>
      </c>
      <c r="H5" s="51">
        <v>7046014685</v>
      </c>
      <c r="I5" s="51">
        <v>19969163417</v>
      </c>
      <c r="J5" s="51">
        <v>20469130514</v>
      </c>
      <c r="K5" s="51">
        <v>8634502504</v>
      </c>
      <c r="L5" s="51">
        <v>18647742209</v>
      </c>
      <c r="M5" s="51">
        <v>20678162877</v>
      </c>
      <c r="N5" s="50">
        <v>7660836099</v>
      </c>
      <c r="O5" s="60">
        <f t="shared" si="0"/>
        <v>169184015239.89999</v>
      </c>
    </row>
    <row r="6" spans="1:16" x14ac:dyDescent="0.35">
      <c r="B6" s="18" t="s">
        <v>55</v>
      </c>
      <c r="C6" s="51">
        <v>2506475574</v>
      </c>
      <c r="D6" s="51">
        <v>3680954794</v>
      </c>
      <c r="E6" s="51">
        <v>1025128834</v>
      </c>
      <c r="F6" s="51">
        <v>3294321450</v>
      </c>
      <c r="G6" s="51">
        <v>3050468661</v>
      </c>
      <c r="H6" s="51">
        <v>456083955</v>
      </c>
      <c r="I6" s="51">
        <v>3206518513</v>
      </c>
      <c r="J6" s="51">
        <v>2072212658</v>
      </c>
      <c r="K6" s="51">
        <v>672329846</v>
      </c>
      <c r="L6" s="51">
        <v>1613311369</v>
      </c>
      <c r="M6" s="51">
        <v>3586180672</v>
      </c>
      <c r="N6" s="50">
        <v>22485000</v>
      </c>
      <c r="O6" s="60">
        <f t="shared" si="0"/>
        <v>25186471326</v>
      </c>
    </row>
    <row r="7" spans="1:16" x14ac:dyDescent="0.35">
      <c r="B7" s="18" t="s">
        <v>56</v>
      </c>
      <c r="C7" s="51">
        <v>2047879200.73</v>
      </c>
      <c r="D7" s="51">
        <v>7142064665</v>
      </c>
      <c r="E7" s="51">
        <v>4659146488</v>
      </c>
      <c r="F7" s="51">
        <v>10933776561</v>
      </c>
      <c r="G7" s="51">
        <v>12239107087</v>
      </c>
      <c r="H7" s="51">
        <v>4621420165</v>
      </c>
      <c r="I7" s="51">
        <v>9609385270</v>
      </c>
      <c r="J7" s="51">
        <v>10787469561</v>
      </c>
      <c r="K7" s="51">
        <v>2178007749</v>
      </c>
      <c r="L7" s="51">
        <v>12864054827</v>
      </c>
      <c r="M7" s="51">
        <v>11197883221</v>
      </c>
      <c r="N7" s="50">
        <v>859882519</v>
      </c>
      <c r="O7" s="60">
        <f t="shared" si="0"/>
        <v>89140077313.729996</v>
      </c>
    </row>
    <row r="8" spans="1:16" x14ac:dyDescent="0.35">
      <c r="B8" s="18" t="s">
        <v>57</v>
      </c>
      <c r="C8" s="51">
        <v>30676829366.510002</v>
      </c>
      <c r="D8" s="51">
        <v>48704218677</v>
      </c>
      <c r="E8" s="51">
        <v>19121898643</v>
      </c>
      <c r="F8" s="51">
        <v>42235515119</v>
      </c>
      <c r="G8" s="51">
        <v>38473378761</v>
      </c>
      <c r="H8" s="51">
        <v>14893044153</v>
      </c>
      <c r="I8" s="51">
        <v>54972231871</v>
      </c>
      <c r="J8" s="51">
        <v>36194447057</v>
      </c>
      <c r="K8" s="51">
        <v>8991551920</v>
      </c>
      <c r="L8" s="51">
        <v>47410995144</v>
      </c>
      <c r="M8" s="51">
        <v>62000435660</v>
      </c>
      <c r="N8" s="50">
        <v>370051150</v>
      </c>
      <c r="O8" s="60">
        <f t="shared" si="0"/>
        <v>404044597521.51001</v>
      </c>
    </row>
    <row r="9" spans="1:16" x14ac:dyDescent="0.35">
      <c r="B9" s="18" t="s">
        <v>5</v>
      </c>
      <c r="C9" s="51">
        <v>64791737045.759995</v>
      </c>
      <c r="D9" s="51">
        <v>68924559814.470001</v>
      </c>
      <c r="E9" s="51">
        <v>37762053409</v>
      </c>
      <c r="F9" s="51">
        <v>85433364146</v>
      </c>
      <c r="G9" s="51">
        <v>79891230983.199997</v>
      </c>
      <c r="H9" s="51">
        <v>28378058533</v>
      </c>
      <c r="I9" s="51">
        <v>74169973677</v>
      </c>
      <c r="J9" s="51">
        <v>57721097887</v>
      </c>
      <c r="K9" s="51">
        <v>12575161821</v>
      </c>
      <c r="L9" s="51">
        <v>69696801613</v>
      </c>
      <c r="M9" s="51">
        <v>63241525465.419998</v>
      </c>
      <c r="N9" s="50">
        <v>6421424991</v>
      </c>
      <c r="O9" s="60">
        <f t="shared" si="0"/>
        <v>649006989385.84998</v>
      </c>
    </row>
    <row r="10" spans="1:16" x14ac:dyDescent="0.35">
      <c r="B10" s="18" t="s">
        <v>58</v>
      </c>
      <c r="C10" s="51">
        <v>16473617630.450001</v>
      </c>
      <c r="D10" s="51">
        <v>21009400043.099998</v>
      </c>
      <c r="E10" s="51">
        <v>1227591937</v>
      </c>
      <c r="F10" s="51">
        <v>5328186106</v>
      </c>
      <c r="G10" s="51">
        <v>5609813634</v>
      </c>
      <c r="H10" s="51">
        <v>2781398972</v>
      </c>
      <c r="I10" s="51">
        <v>3262401632.3099999</v>
      </c>
      <c r="J10" s="51">
        <v>4658543427</v>
      </c>
      <c r="K10" s="51">
        <v>1598482481</v>
      </c>
      <c r="L10" s="51">
        <v>2053526913</v>
      </c>
      <c r="M10" s="51">
        <v>3293610588</v>
      </c>
      <c r="N10" s="50">
        <v>246261359</v>
      </c>
      <c r="O10" s="60">
        <f t="shared" si="0"/>
        <v>67542834722.860001</v>
      </c>
    </row>
    <row r="11" spans="1:16" x14ac:dyDescent="0.35">
      <c r="A11" s="17"/>
      <c r="B11" s="19" t="s">
        <v>59</v>
      </c>
      <c r="C11" s="52">
        <v>691398101</v>
      </c>
      <c r="D11" s="52">
        <v>719696431.90002441</v>
      </c>
      <c r="E11" s="52">
        <v>19684108</v>
      </c>
      <c r="F11" s="52">
        <v>487870560.79998779</v>
      </c>
      <c r="G11" s="52">
        <v>908824871</v>
      </c>
      <c r="H11" s="52">
        <v>1608733497</v>
      </c>
      <c r="I11" s="52">
        <v>60740781</v>
      </c>
      <c r="J11" s="52">
        <v>730940553</v>
      </c>
      <c r="K11" s="52">
        <v>2087510</v>
      </c>
      <c r="L11" s="52">
        <v>150038306.8999939</v>
      </c>
      <c r="M11" s="52">
        <v>72401000</v>
      </c>
      <c r="N11" s="50">
        <v>0</v>
      </c>
      <c r="O11" s="60">
        <f t="shared" si="0"/>
        <v>5452415720.6000061</v>
      </c>
    </row>
    <row r="12" spans="1:16" x14ac:dyDescent="0.35">
      <c r="B12" s="19"/>
      <c r="C12" s="20">
        <f>SUM(C3:C11)</f>
        <v>375674756238.89001</v>
      </c>
      <c r="D12" s="20">
        <f t="shared" ref="D12:O12" si="1">SUM(D3:D11)</f>
        <v>360103660031</v>
      </c>
      <c r="E12" s="20">
        <f t="shared" si="1"/>
        <v>183644161244</v>
      </c>
      <c r="F12" s="20">
        <f t="shared" si="1"/>
        <v>310162904372</v>
      </c>
      <c r="G12" s="20">
        <f t="shared" si="1"/>
        <v>289286871436</v>
      </c>
      <c r="H12" s="20">
        <f t="shared" si="1"/>
        <v>104262552145</v>
      </c>
      <c r="I12" s="20">
        <f t="shared" si="1"/>
        <v>274158731921</v>
      </c>
      <c r="J12" s="20">
        <f t="shared" si="1"/>
        <v>219182868453</v>
      </c>
      <c r="K12" s="20">
        <f t="shared" si="1"/>
        <v>93381856496</v>
      </c>
      <c r="L12" s="20">
        <f t="shared" si="1"/>
        <v>235983510941</v>
      </c>
      <c r="M12" s="20">
        <f t="shared" si="1"/>
        <v>376093668546</v>
      </c>
      <c r="N12" s="20">
        <f t="shared" si="1"/>
        <v>24418223013</v>
      </c>
      <c r="O12" s="20">
        <f t="shared" si="1"/>
        <v>2846353764836.8896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abSelected="1" workbookViewId="0">
      <selection activeCell="D15" sqref="D15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29 September 2023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79</v>
      </c>
      <c r="O2" s="45" t="s">
        <v>72</v>
      </c>
    </row>
    <row r="3" spans="1:15" x14ac:dyDescent="0.35">
      <c r="B3" s="46" t="s">
        <v>53</v>
      </c>
      <c r="C3" s="58">
        <v>0.36318389301656723</v>
      </c>
      <c r="D3" s="58">
        <v>0.30734854647540155</v>
      </c>
      <c r="E3" s="58">
        <v>0.31950227690626898</v>
      </c>
      <c r="F3" s="58">
        <v>0.26062889149389074</v>
      </c>
      <c r="G3" s="58">
        <v>0.32233375495448074</v>
      </c>
      <c r="H3" s="58">
        <v>0.28422765850568277</v>
      </c>
      <c r="I3" s="58">
        <v>0.28548593900176555</v>
      </c>
      <c r="J3" s="58">
        <v>0.25240390034343851</v>
      </c>
      <c r="K3" s="58">
        <v>0.49574739662605649</v>
      </c>
      <c r="L3" s="58">
        <v>0.2504315725761681</v>
      </c>
      <c r="M3" s="58">
        <v>0.24316563360548671</v>
      </c>
      <c r="N3" s="58">
        <v>0.28337904479437642</v>
      </c>
      <c r="O3" s="58">
        <v>0.2975262630579652</v>
      </c>
    </row>
    <row r="4" spans="1:15" x14ac:dyDescent="0.35">
      <c r="B4" s="47" t="s">
        <v>73</v>
      </c>
      <c r="C4" s="58">
        <v>0.27334982846265415</v>
      </c>
      <c r="D4" s="58">
        <v>0.2447192847441309</v>
      </c>
      <c r="E4" s="58">
        <v>0.29695729202379822</v>
      </c>
      <c r="F4" s="58">
        <v>0.22462607202258816</v>
      </c>
      <c r="G4" s="58">
        <v>0.1342203584215888</v>
      </c>
      <c r="H4" s="58">
        <v>0.14236652387289403</v>
      </c>
      <c r="I4" s="58">
        <v>0.1117595399095988</v>
      </c>
      <c r="J4" s="58">
        <v>0.14246741148337497</v>
      </c>
      <c r="K4" s="58">
        <v>0.13317276911851383</v>
      </c>
      <c r="L4" s="58">
        <v>0.10360604736579564</v>
      </c>
      <c r="M4" s="58">
        <v>0.32058613036936312</v>
      </c>
      <c r="N4" s="59">
        <v>7.853434629452985E-2</v>
      </c>
      <c r="O4" s="59">
        <v>0.20725862396354514</v>
      </c>
    </row>
    <row r="5" spans="1:15" x14ac:dyDescent="0.35">
      <c r="B5" s="47" t="s">
        <v>54</v>
      </c>
      <c r="C5" s="58">
        <v>5.1526402411746983E-2</v>
      </c>
      <c r="D5" s="58">
        <v>3.0883104595611784E-2</v>
      </c>
      <c r="E5" s="58">
        <v>3.6045019363316513E-2</v>
      </c>
      <c r="F5" s="58">
        <v>3.8501643541735048E-2</v>
      </c>
      <c r="G5" s="58">
        <v>5.8899791250186712E-2</v>
      </c>
      <c r="H5" s="58">
        <v>6.7579533974968964E-2</v>
      </c>
      <c r="I5" s="58">
        <v>7.283796243540476E-2</v>
      </c>
      <c r="J5" s="58">
        <v>9.338836861873287E-2</v>
      </c>
      <c r="K5" s="58">
        <v>9.2464455387753594E-2</v>
      </c>
      <c r="L5" s="58">
        <v>7.902137795408197E-2</v>
      </c>
      <c r="M5" s="58">
        <v>5.4981417147868986E-2</v>
      </c>
      <c r="N5" s="59">
        <v>0.31373438169196233</v>
      </c>
      <c r="O5" s="59">
        <v>5.943885729523684E-2</v>
      </c>
    </row>
    <row r="6" spans="1:15" x14ac:dyDescent="0.35">
      <c r="B6" s="47" t="s">
        <v>55</v>
      </c>
      <c r="C6" s="58">
        <v>6.6719297274425932E-3</v>
      </c>
      <c r="D6" s="58">
        <v>1.0221931078631969E-2</v>
      </c>
      <c r="E6" s="58">
        <v>5.5821477092209641E-3</v>
      </c>
      <c r="F6" s="58">
        <v>1.0621261935466307E-2</v>
      </c>
      <c r="G6" s="58">
        <v>1.0544787759837439E-2</v>
      </c>
      <c r="H6" s="58">
        <v>4.3743793492194106E-3</v>
      </c>
      <c r="I6" s="58">
        <v>1.1695846747365216E-2</v>
      </c>
      <c r="J6" s="58">
        <v>9.4542637963712494E-3</v>
      </c>
      <c r="K6" s="58">
        <v>7.1997909575592899E-3</v>
      </c>
      <c r="L6" s="58">
        <v>6.8365427845649609E-3</v>
      </c>
      <c r="M6" s="58">
        <v>9.5353391240655099E-3</v>
      </c>
      <c r="N6" s="59">
        <v>9.2082867733779105E-4</v>
      </c>
      <c r="O6" s="59">
        <v>8.8486791898979966E-3</v>
      </c>
    </row>
    <row r="7" spans="1:15" x14ac:dyDescent="0.35">
      <c r="B7" s="47" t="s">
        <v>56</v>
      </c>
      <c r="C7" s="58">
        <v>5.451202580744505E-3</v>
      </c>
      <c r="D7" s="58">
        <v>1.9833357607043387E-2</v>
      </c>
      <c r="E7" s="58">
        <v>2.5370512497860442E-2</v>
      </c>
      <c r="F7" s="58">
        <v>3.5251722262332051E-2</v>
      </c>
      <c r="G7" s="58">
        <v>4.2307855265764117E-2</v>
      </c>
      <c r="H7" s="58">
        <v>4.432483254939798E-2</v>
      </c>
      <c r="I7" s="58">
        <v>3.5050443962401256E-2</v>
      </c>
      <c r="J7" s="58">
        <v>4.9216755110188679E-2</v>
      </c>
      <c r="K7" s="58">
        <v>2.3323671543125667E-2</v>
      </c>
      <c r="L7" s="58">
        <v>5.4512515623247243E-2</v>
      </c>
      <c r="M7" s="58">
        <v>2.977418701115514E-2</v>
      </c>
      <c r="N7" s="59">
        <v>3.5214786863983008E-2</v>
      </c>
      <c r="O7" s="59">
        <v>3.1317286844292934E-2</v>
      </c>
    </row>
    <row r="8" spans="1:15" x14ac:dyDescent="0.35">
      <c r="B8" s="47" t="s">
        <v>57</v>
      </c>
      <c r="C8" s="58">
        <v>8.165794708602335E-2</v>
      </c>
      <c r="D8" s="58">
        <v>0.13525055166839248</v>
      </c>
      <c r="E8" s="58">
        <v>0.10412472965908001</v>
      </c>
      <c r="F8" s="58">
        <v>0.13617203902741382</v>
      </c>
      <c r="G8" s="58">
        <v>0.13299386373816693</v>
      </c>
      <c r="H8" s="58">
        <v>0.14284173796444141</v>
      </c>
      <c r="I8" s="58">
        <v>0.20051242390062002</v>
      </c>
      <c r="J8" s="58">
        <v>0.16513355862372645</v>
      </c>
      <c r="K8" s="58">
        <v>9.6287997019904523E-2</v>
      </c>
      <c r="L8" s="58">
        <v>0.20090808444600849</v>
      </c>
      <c r="M8" s="58">
        <v>0.16485370758752013</v>
      </c>
      <c r="N8" s="59">
        <v>1.5154712519538737E-2</v>
      </c>
      <c r="O8" s="59">
        <v>0.14195164442065192</v>
      </c>
    </row>
    <row r="9" spans="1:15" x14ac:dyDescent="0.35">
      <c r="B9" s="47" t="s">
        <v>5</v>
      </c>
      <c r="C9" s="58">
        <v>0.17246763581995697</v>
      </c>
      <c r="D9" s="58">
        <v>0.19140199743745048</v>
      </c>
      <c r="E9" s="58">
        <v>0.20562621296098385</v>
      </c>
      <c r="F9" s="58">
        <v>0.27544675053575657</v>
      </c>
      <c r="G9" s="58">
        <v>0.276166113541985</v>
      </c>
      <c r="H9" s="58">
        <v>0.27217882115080083</v>
      </c>
      <c r="I9" s="58">
        <v>0.27053660905599897</v>
      </c>
      <c r="J9" s="58">
        <v>0.26334675832284443</v>
      </c>
      <c r="K9" s="58">
        <v>0.13466386611770409</v>
      </c>
      <c r="L9" s="58">
        <v>0.29534606606656266</v>
      </c>
      <c r="M9" s="58">
        <v>0.16815365626843817</v>
      </c>
      <c r="N9" s="59">
        <v>0.26297675254998293</v>
      </c>
      <c r="O9" s="59">
        <v>0.2280134667037923</v>
      </c>
    </row>
    <row r="10" spans="1:15" x14ac:dyDescent="0.35">
      <c r="B10" s="47" t="s">
        <v>58</v>
      </c>
      <c r="C10" s="58">
        <v>4.3850744179293473E-2</v>
      </c>
      <c r="D10" s="58">
        <v>5.8342645118606616E-2</v>
      </c>
      <c r="E10" s="58">
        <v>6.6846227437035262E-3</v>
      </c>
      <c r="F10" s="58">
        <v>1.7178669759970826E-2</v>
      </c>
      <c r="G10" s="58">
        <v>1.9391870796463293E-2</v>
      </c>
      <c r="H10" s="58">
        <v>2.6676874052841651E-2</v>
      </c>
      <c r="I10" s="58">
        <v>1.1899681653218599E-2</v>
      </c>
      <c r="J10" s="58">
        <v>2.1254140252293233E-2</v>
      </c>
      <c r="K10" s="58">
        <v>1.7117698672744538E-2</v>
      </c>
      <c r="L10" s="58">
        <v>8.7019932232189623E-3</v>
      </c>
      <c r="M10" s="58">
        <v>8.7574209923110113E-3</v>
      </c>
      <c r="N10" s="59">
        <v>1.0085146608288945E-2</v>
      </c>
      <c r="O10" s="59">
        <v>2.3729599446585495E-2</v>
      </c>
    </row>
    <row r="11" spans="1:15" x14ac:dyDescent="0.35">
      <c r="B11" s="47" t="s">
        <v>59</v>
      </c>
      <c r="C11" s="58">
        <v>1.8404167155706965E-3</v>
      </c>
      <c r="D11" s="58">
        <v>1.9985812747309161E-3</v>
      </c>
      <c r="E11" s="58">
        <v>1.0718613576745618E-4</v>
      </c>
      <c r="F11" s="58">
        <v>1.572949420846442E-3</v>
      </c>
      <c r="G11" s="58">
        <v>3.1416042715269321E-3</v>
      </c>
      <c r="H11" s="58">
        <v>1.5429638579752991E-2</v>
      </c>
      <c r="I11" s="58">
        <v>2.2155333362682285E-4</v>
      </c>
      <c r="J11" s="58">
        <v>3.3348434490295836E-3</v>
      </c>
      <c r="K11" s="58">
        <v>2.235455663798479E-5</v>
      </c>
      <c r="L11" s="58">
        <v>6.3579996035191663E-4</v>
      </c>
      <c r="M11" s="58">
        <v>1.9250789379121025E-4</v>
      </c>
      <c r="N11" s="59">
        <v>0</v>
      </c>
      <c r="O11" s="59">
        <v>1.9155790780322969E-3</v>
      </c>
    </row>
    <row r="12" spans="1:15" ht="15" thickBot="1" x14ac:dyDescent="0.4">
      <c r="A12" s="17"/>
      <c r="B12" s="48"/>
      <c r="C12" s="49">
        <f>SUM(C3:C11)</f>
        <v>0.99999999999999989</v>
      </c>
      <c r="D12" s="49">
        <f t="shared" ref="D12:O12" si="0">SUM(D3:D11)</f>
        <v>1.0000000000000002</v>
      </c>
      <c r="E12" s="49">
        <f t="shared" si="0"/>
        <v>0.99999999999999989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1</v>
      </c>
      <c r="J12" s="49">
        <f t="shared" si="0"/>
        <v>0.99999999999999989</v>
      </c>
      <c r="K12" s="49">
        <f t="shared" si="0"/>
        <v>1</v>
      </c>
      <c r="L12" s="49">
        <f t="shared" si="0"/>
        <v>1</v>
      </c>
      <c r="M12" s="49">
        <f t="shared" si="0"/>
        <v>0.99999999999999989</v>
      </c>
      <c r="N12" s="49">
        <f t="shared" si="0"/>
        <v>1</v>
      </c>
      <c r="O12" s="49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topLeftCell="G1" workbookViewId="0">
      <selection activeCell="O3" sqref="O3:O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5" width="17.7265625" style="15" bestFit="1" customWidth="1"/>
    <col min="6" max="6" width="16.54296875" style="15" bestFit="1" customWidth="1"/>
    <col min="7" max="10" width="17.7265625" style="15" bestFit="1" customWidth="1"/>
    <col min="11" max="11" width="17.7265625" style="15" customWidth="1"/>
    <col min="12" max="12" width="18.7265625" style="15" bestFit="1" customWidth="1"/>
    <col min="13" max="14" width="18.81640625" style="28" customWidth="1"/>
    <col min="15" max="15" width="15.6328125" style="28" bestFit="1" customWidth="1"/>
    <col min="16" max="16384" width="9.1796875" style="28"/>
  </cols>
  <sheetData>
    <row r="1" spans="1:15" x14ac:dyDescent="0.35">
      <c r="A1" s="39" t="str">
        <f>'Fixed rate bond (Values)'!A1</f>
        <v>29 September 2023</v>
      </c>
      <c r="C1" s="32"/>
      <c r="D1" s="32"/>
      <c r="E1" s="32"/>
      <c r="F1" s="32"/>
      <c r="G1" s="32"/>
      <c r="H1" s="32"/>
      <c r="I1" s="32"/>
      <c r="J1" s="32"/>
      <c r="K1" s="32"/>
    </row>
    <row r="2" spans="1:15" x14ac:dyDescent="0.35">
      <c r="A2" s="17"/>
      <c r="B2" s="18" t="s">
        <v>40</v>
      </c>
      <c r="C2" s="40" t="s">
        <v>60</v>
      </c>
      <c r="D2" s="40" t="s">
        <v>61</v>
      </c>
      <c r="E2" s="40" t="s">
        <v>62</v>
      </c>
      <c r="F2" s="40" t="s">
        <v>68</v>
      </c>
      <c r="G2" s="40" t="s">
        <v>80</v>
      </c>
      <c r="H2" s="40" t="s">
        <v>63</v>
      </c>
      <c r="I2" s="40" t="s">
        <v>64</v>
      </c>
      <c r="J2" s="40" t="s">
        <v>65</v>
      </c>
      <c r="K2" s="40" t="s">
        <v>83</v>
      </c>
      <c r="L2" s="40" t="s">
        <v>66</v>
      </c>
      <c r="M2" s="22" t="s">
        <v>67</v>
      </c>
      <c r="N2" s="22" t="s">
        <v>84</v>
      </c>
      <c r="O2" s="22" t="s">
        <v>72</v>
      </c>
    </row>
    <row r="3" spans="1:15" x14ac:dyDescent="0.35">
      <c r="B3" s="18" t="s">
        <v>53</v>
      </c>
      <c r="C3" s="51">
        <v>89542594</v>
      </c>
      <c r="D3" s="51">
        <v>1715042612</v>
      </c>
      <c r="E3" s="51">
        <v>118532432</v>
      </c>
      <c r="F3" s="51">
        <v>5334024366</v>
      </c>
      <c r="G3" s="51">
        <v>129000000</v>
      </c>
      <c r="H3" s="51">
        <v>14470483966</v>
      </c>
      <c r="I3" s="51">
        <v>305215735</v>
      </c>
      <c r="J3" s="51">
        <v>3090304251</v>
      </c>
      <c r="K3" s="51">
        <v>0</v>
      </c>
      <c r="L3" s="51">
        <v>5591915600</v>
      </c>
      <c r="M3" s="52">
        <v>2892270111</v>
      </c>
      <c r="N3" s="52">
        <v>0</v>
      </c>
      <c r="O3" s="20">
        <f>SUM(C3:N3)</f>
        <v>33736331667</v>
      </c>
    </row>
    <row r="4" spans="1:15" x14ac:dyDescent="0.35">
      <c r="B4" s="18" t="s">
        <v>73</v>
      </c>
      <c r="C4" s="51">
        <v>10358833054.529999</v>
      </c>
      <c r="D4" s="51">
        <v>11299769521</v>
      </c>
      <c r="E4" s="51">
        <v>2415559972</v>
      </c>
      <c r="F4" s="51">
        <v>2311913748</v>
      </c>
      <c r="G4" s="51">
        <v>73850400</v>
      </c>
      <c r="H4" s="51">
        <v>1573764880</v>
      </c>
      <c r="I4" s="51">
        <v>5497062304.9700003</v>
      </c>
      <c r="J4" s="51">
        <v>8431947647</v>
      </c>
      <c r="K4" s="51">
        <v>0</v>
      </c>
      <c r="L4" s="51">
        <v>15409581848.99</v>
      </c>
      <c r="M4" s="52">
        <v>14661860922.27</v>
      </c>
      <c r="N4" s="52">
        <v>0</v>
      </c>
      <c r="O4" s="20">
        <f t="shared" ref="O4:O11" si="0">SUM(C4:N4)</f>
        <v>72034144298.759995</v>
      </c>
    </row>
    <row r="5" spans="1:15" x14ac:dyDescent="0.35">
      <c r="B5" s="18" t="s">
        <v>54</v>
      </c>
      <c r="C5" s="51">
        <v>484708434.92000002</v>
      </c>
      <c r="D5" s="51">
        <v>3284754095</v>
      </c>
      <c r="E5" s="51">
        <v>1517223287</v>
      </c>
      <c r="F5" s="51">
        <v>2174681299</v>
      </c>
      <c r="G5" s="51">
        <v>84200000</v>
      </c>
      <c r="H5" s="51">
        <v>2354814284</v>
      </c>
      <c r="I5" s="51">
        <v>1185929515</v>
      </c>
      <c r="J5" s="51">
        <v>3472946005</v>
      </c>
      <c r="K5" s="51">
        <v>0</v>
      </c>
      <c r="L5" s="51">
        <v>5103916238</v>
      </c>
      <c r="M5" s="52">
        <v>5169486081</v>
      </c>
      <c r="N5" s="52">
        <v>0</v>
      </c>
      <c r="O5" s="20">
        <f t="shared" si="0"/>
        <v>24832659238.919998</v>
      </c>
    </row>
    <row r="6" spans="1:15" x14ac:dyDescent="0.35">
      <c r="B6" s="18" t="s">
        <v>55</v>
      </c>
      <c r="C6" s="51">
        <v>52939238</v>
      </c>
      <c r="D6" s="51">
        <v>1799509502</v>
      </c>
      <c r="E6" s="51">
        <v>256325553</v>
      </c>
      <c r="F6" s="51">
        <v>1127178062</v>
      </c>
      <c r="G6" s="51">
        <v>8000000</v>
      </c>
      <c r="H6" s="51">
        <v>1200898856</v>
      </c>
      <c r="I6" s="51">
        <v>574810912</v>
      </c>
      <c r="J6" s="51">
        <v>1416789212.54</v>
      </c>
      <c r="K6" s="51">
        <v>0</v>
      </c>
      <c r="L6" s="51">
        <v>1202654289</v>
      </c>
      <c r="M6" s="52">
        <v>1999995560.8099999</v>
      </c>
      <c r="N6" s="52">
        <v>0</v>
      </c>
      <c r="O6" s="20">
        <f t="shared" si="0"/>
        <v>9639101185.3500004</v>
      </c>
    </row>
    <row r="7" spans="1:15" x14ac:dyDescent="0.35">
      <c r="B7" s="18" t="s">
        <v>56</v>
      </c>
      <c r="C7" s="51">
        <v>468179397</v>
      </c>
      <c r="D7" s="51">
        <v>6757460781</v>
      </c>
      <c r="E7" s="51">
        <v>2271461396.75</v>
      </c>
      <c r="F7" s="51">
        <v>5203115447</v>
      </c>
      <c r="G7" s="51">
        <v>42300000</v>
      </c>
      <c r="H7" s="51">
        <v>9009360354</v>
      </c>
      <c r="I7" s="51">
        <v>3540617910.6399999</v>
      </c>
      <c r="J7" s="51">
        <v>11176452476</v>
      </c>
      <c r="K7" s="51">
        <v>0</v>
      </c>
      <c r="L7" s="51">
        <v>14767846593</v>
      </c>
      <c r="M7" s="52">
        <v>19257560214.48</v>
      </c>
      <c r="N7" s="52">
        <v>0</v>
      </c>
      <c r="O7" s="20">
        <f t="shared" si="0"/>
        <v>72494354569.869995</v>
      </c>
    </row>
    <row r="8" spans="1:15" x14ac:dyDescent="0.35">
      <c r="B8" s="18" t="s">
        <v>57</v>
      </c>
      <c r="C8" s="51">
        <v>18016802988</v>
      </c>
      <c r="D8" s="51">
        <v>25887130265</v>
      </c>
      <c r="E8" s="51">
        <v>19429690590</v>
      </c>
      <c r="F8" s="51">
        <v>15515551477</v>
      </c>
      <c r="G8" s="51">
        <v>430000000</v>
      </c>
      <c r="H8" s="51">
        <v>24614048028</v>
      </c>
      <c r="I8" s="51">
        <v>23352743661</v>
      </c>
      <c r="J8" s="51">
        <v>45426715991</v>
      </c>
      <c r="K8" s="51">
        <v>0</v>
      </c>
      <c r="L8" s="51">
        <v>41814777726</v>
      </c>
      <c r="M8" s="52">
        <v>48945348765</v>
      </c>
      <c r="N8" s="52">
        <v>0</v>
      </c>
      <c r="O8" s="20">
        <f t="shared" si="0"/>
        <v>263432809491</v>
      </c>
    </row>
    <row r="9" spans="1:15" x14ac:dyDescent="0.35">
      <c r="B9" s="18" t="s">
        <v>5</v>
      </c>
      <c r="C9" s="51">
        <v>1760234421.55</v>
      </c>
      <c r="D9" s="51">
        <v>16528438718</v>
      </c>
      <c r="E9" s="51">
        <v>3658187131.02</v>
      </c>
      <c r="F9" s="51">
        <v>15303413195</v>
      </c>
      <c r="G9" s="51">
        <v>823049600</v>
      </c>
      <c r="H9" s="51">
        <v>12039588656</v>
      </c>
      <c r="I9" s="51">
        <v>3420759782.3899999</v>
      </c>
      <c r="J9" s="51">
        <v>6743486534.46</v>
      </c>
      <c r="K9" s="51">
        <v>50000000</v>
      </c>
      <c r="L9" s="51">
        <v>7158049583.0099993</v>
      </c>
      <c r="M9" s="52">
        <v>7800632787.4400005</v>
      </c>
      <c r="N9" s="52">
        <v>80000000</v>
      </c>
      <c r="O9" s="20">
        <f t="shared" si="0"/>
        <v>75365840408.869995</v>
      </c>
    </row>
    <row r="10" spans="1:15" x14ac:dyDescent="0.35">
      <c r="B10" s="18" t="s">
        <v>58</v>
      </c>
      <c r="C10" s="51">
        <v>2525299349</v>
      </c>
      <c r="D10" s="51">
        <v>637746286</v>
      </c>
      <c r="E10" s="51">
        <v>755537200.23000002</v>
      </c>
      <c r="F10" s="51">
        <v>254507095</v>
      </c>
      <c r="G10" s="51">
        <v>4600000</v>
      </c>
      <c r="H10" s="51">
        <v>306991218</v>
      </c>
      <c r="I10" s="51">
        <v>55626550</v>
      </c>
      <c r="J10" s="51">
        <v>1036357883</v>
      </c>
      <c r="K10" s="51">
        <v>0</v>
      </c>
      <c r="L10" s="51">
        <v>1494088122</v>
      </c>
      <c r="M10" s="52">
        <v>1882845558</v>
      </c>
      <c r="N10" s="52">
        <v>0</v>
      </c>
      <c r="O10" s="20">
        <f t="shared" si="0"/>
        <v>8953599261.2299995</v>
      </c>
    </row>
    <row r="11" spans="1:15" x14ac:dyDescent="0.35">
      <c r="B11" s="18" t="s">
        <v>59</v>
      </c>
      <c r="C11" s="52">
        <v>978000.0000038147</v>
      </c>
      <c r="D11" s="52">
        <v>148219.99999237061</v>
      </c>
      <c r="E11" s="52">
        <v>300000</v>
      </c>
      <c r="F11" s="52">
        <v>615311</v>
      </c>
      <c r="G11" s="52">
        <v>0</v>
      </c>
      <c r="H11" s="52">
        <v>25049758</v>
      </c>
      <c r="I11" s="52">
        <v>8418628</v>
      </c>
      <c r="J11" s="52">
        <v>0</v>
      </c>
      <c r="K11" s="52">
        <v>0</v>
      </c>
      <c r="L11" s="52">
        <v>7170000.0000152588</v>
      </c>
      <c r="M11" s="52">
        <v>0</v>
      </c>
      <c r="N11" s="52">
        <v>0</v>
      </c>
      <c r="O11" s="20">
        <f t="shared" si="0"/>
        <v>42679917.000011444</v>
      </c>
    </row>
    <row r="12" spans="1:15" x14ac:dyDescent="0.35">
      <c r="A12" s="17"/>
      <c r="B12" s="18"/>
      <c r="C12" s="33">
        <f>SUM(C3:C11)</f>
        <v>33757517477</v>
      </c>
      <c r="D12" s="33">
        <f t="shared" ref="D12:O12" si="1">SUM(D3:D11)</f>
        <v>67909999999.999992</v>
      </c>
      <c r="E12" s="33">
        <f t="shared" si="1"/>
        <v>30422817562</v>
      </c>
      <c r="F12" s="33">
        <f t="shared" si="1"/>
        <v>47225000000</v>
      </c>
      <c r="G12" s="33">
        <f t="shared" si="1"/>
        <v>1595000000</v>
      </c>
      <c r="H12" s="33">
        <f t="shared" si="1"/>
        <v>65595000000</v>
      </c>
      <c r="I12" s="33">
        <f t="shared" si="1"/>
        <v>37941184999</v>
      </c>
      <c r="J12" s="33">
        <f t="shared" si="1"/>
        <v>80795000000.000015</v>
      </c>
      <c r="K12" s="33">
        <f t="shared" si="1"/>
        <v>50000000</v>
      </c>
      <c r="L12" s="33">
        <f t="shared" si="1"/>
        <v>92550000000</v>
      </c>
      <c r="M12" s="33">
        <f t="shared" si="1"/>
        <v>102610000000</v>
      </c>
      <c r="N12" s="33">
        <f t="shared" si="1"/>
        <v>80000000</v>
      </c>
      <c r="O12" s="33">
        <f t="shared" si="1"/>
        <v>560531520038</v>
      </c>
    </row>
    <row r="13" spans="1:15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42"/>
      <c r="N13" s="42"/>
    </row>
    <row r="14" spans="1:15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42"/>
      <c r="N14" s="42"/>
    </row>
    <row r="15" spans="1:15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5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3:14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3:14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3:14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3:14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3:14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3:14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3:14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3:14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topLeftCell="C1" workbookViewId="0">
      <selection activeCell="C12" sqref="C12:O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.26953125" style="15" bestFit="1" customWidth="1"/>
    <col min="5" max="5" width="11" style="15" bestFit="1" customWidth="1"/>
    <col min="6" max="6" width="11" style="15" customWidth="1"/>
    <col min="7" max="7" width="11" style="15" bestFit="1" customWidth="1"/>
    <col min="8" max="10" width="11.26953125" style="15" bestFit="1" customWidth="1"/>
    <col min="11" max="11" width="11.26953125" style="15" customWidth="1"/>
    <col min="12" max="12" width="11.7265625" style="28" customWidth="1"/>
    <col min="13" max="14" width="11.08984375" style="28" bestFit="1" customWidth="1"/>
    <col min="15" max="16384" width="9.1796875" style="28"/>
  </cols>
  <sheetData>
    <row r="1" spans="1:15" x14ac:dyDescent="0.35">
      <c r="A1" s="39" t="str">
        <f>'Fixed rate bond (Values)'!A1</f>
        <v>29 September 2023</v>
      </c>
    </row>
    <row r="2" spans="1:15" x14ac:dyDescent="0.35">
      <c r="A2" s="17"/>
      <c r="B2" s="18"/>
      <c r="C2" s="22" t="s">
        <v>60</v>
      </c>
      <c r="D2" s="22" t="s">
        <v>61</v>
      </c>
      <c r="E2" s="22" t="s">
        <v>62</v>
      </c>
      <c r="F2" s="22" t="s">
        <v>68</v>
      </c>
      <c r="G2" s="22" t="s">
        <v>80</v>
      </c>
      <c r="H2" s="22" t="s">
        <v>63</v>
      </c>
      <c r="I2" s="22" t="s">
        <v>64</v>
      </c>
      <c r="J2" s="22" t="s">
        <v>65</v>
      </c>
      <c r="K2" s="22" t="s">
        <v>83</v>
      </c>
      <c r="L2" s="22" t="s">
        <v>66</v>
      </c>
      <c r="M2" s="43" t="s">
        <v>67</v>
      </c>
      <c r="N2" s="43" t="s">
        <v>84</v>
      </c>
      <c r="O2" s="43" t="s">
        <v>72</v>
      </c>
    </row>
    <row r="3" spans="1:15" x14ac:dyDescent="0.35">
      <c r="B3" s="18" t="s">
        <v>53</v>
      </c>
      <c r="C3" s="53">
        <v>2.6525230731497965E-3</v>
      </c>
      <c r="D3" s="53">
        <v>2.5254640141363572E-2</v>
      </c>
      <c r="E3" s="53">
        <v>3.8961687805029082E-3</v>
      </c>
      <c r="F3" s="53">
        <v>0.11294916603493912</v>
      </c>
      <c r="G3" s="53">
        <v>8.0877742946708464E-2</v>
      </c>
      <c r="H3" s="53">
        <v>0.22060346011128898</v>
      </c>
      <c r="I3" s="53">
        <v>8.0444439204533126E-3</v>
      </c>
      <c r="J3" s="53">
        <v>3.8248706615508381E-2</v>
      </c>
      <c r="K3" s="53">
        <v>0</v>
      </c>
      <c r="L3" s="53">
        <v>6.0420481901674768E-2</v>
      </c>
      <c r="M3" s="53">
        <v>2.8187019890848847E-2</v>
      </c>
      <c r="N3" s="53">
        <v>0</v>
      </c>
      <c r="O3" s="53">
        <v>6.018632398176809E-2</v>
      </c>
    </row>
    <row r="4" spans="1:15" x14ac:dyDescent="0.35">
      <c r="B4" s="18" t="s">
        <v>73</v>
      </c>
      <c r="C4" s="53">
        <v>0.30686003677811258</v>
      </c>
      <c r="D4" s="53">
        <v>0.16639330762774263</v>
      </c>
      <c r="E4" s="53">
        <v>7.9399614025795734E-2</v>
      </c>
      <c r="F4" s="53">
        <v>4.8955293763896242E-2</v>
      </c>
      <c r="G4" s="53">
        <v>4.630119122257053E-2</v>
      </c>
      <c r="H4" s="53">
        <v>2.3992146962420916E-2</v>
      </c>
      <c r="I4" s="53">
        <v>0.14488378012217815</v>
      </c>
      <c r="J4" s="53">
        <v>0.10436224577015903</v>
      </c>
      <c r="K4" s="53">
        <v>0</v>
      </c>
      <c r="L4" s="53">
        <v>0.16650007400313344</v>
      </c>
      <c r="M4" s="53">
        <v>0.14288920107465161</v>
      </c>
      <c r="N4" s="53">
        <v>0</v>
      </c>
      <c r="O4" s="53">
        <v>0.12851042577208968</v>
      </c>
    </row>
    <row r="5" spans="1:15" x14ac:dyDescent="0.35">
      <c r="B5" s="18" t="s">
        <v>54</v>
      </c>
      <c r="C5" s="53">
        <v>1.4358533184504646E-2</v>
      </c>
      <c r="D5" s="53">
        <v>4.8369225371815643E-2</v>
      </c>
      <c r="E5" s="53">
        <v>4.987122852470794E-2</v>
      </c>
      <c r="F5" s="53">
        <v>4.6049365780836418E-2</v>
      </c>
      <c r="G5" s="53">
        <v>5.2789968652037618E-2</v>
      </c>
      <c r="H5" s="53">
        <v>3.5899295434103209E-2</v>
      </c>
      <c r="I5" s="53">
        <v>3.1257049958541283E-2</v>
      </c>
      <c r="J5" s="53">
        <v>4.2984664954514501E-2</v>
      </c>
      <c r="K5" s="53">
        <v>0</v>
      </c>
      <c r="L5" s="53">
        <v>5.5147663295515938E-2</v>
      </c>
      <c r="M5" s="53">
        <v>5.0379944264691549E-2</v>
      </c>
      <c r="N5" s="53">
        <v>0</v>
      </c>
      <c r="O5" s="53">
        <v>4.4301985439171243E-2</v>
      </c>
    </row>
    <row r="6" spans="1:15" x14ac:dyDescent="0.35">
      <c r="B6" s="18" t="s">
        <v>55</v>
      </c>
      <c r="C6" s="53">
        <v>1.5682207092411068E-3</v>
      </c>
      <c r="D6" s="53">
        <v>2.6498446502724197E-2</v>
      </c>
      <c r="E6" s="53">
        <v>8.4254376662392591E-3</v>
      </c>
      <c r="F6" s="53">
        <v>2.3868249062996293E-2</v>
      </c>
      <c r="G6" s="53">
        <v>5.0156739811912229E-3</v>
      </c>
      <c r="H6" s="53">
        <v>1.8307780410092234E-2</v>
      </c>
      <c r="I6" s="53">
        <v>1.5150051639534982E-2</v>
      </c>
      <c r="J6" s="53">
        <v>1.7535605081255023E-2</v>
      </c>
      <c r="K6" s="53">
        <v>0</v>
      </c>
      <c r="L6" s="53">
        <v>1.2994643857374392E-2</v>
      </c>
      <c r="M6" s="53">
        <v>1.9491234390507747E-2</v>
      </c>
      <c r="N6" s="53">
        <v>0</v>
      </c>
      <c r="O6" s="53">
        <v>1.7196358885752827E-2</v>
      </c>
    </row>
    <row r="7" spans="1:15" x14ac:dyDescent="0.35">
      <c r="B7" s="18" t="s">
        <v>56</v>
      </c>
      <c r="C7" s="53">
        <v>1.3868892975290157E-2</v>
      </c>
      <c r="D7" s="53">
        <v>9.9506122529818886E-2</v>
      </c>
      <c r="E7" s="53">
        <v>7.4663084447089384E-2</v>
      </c>
      <c r="F7" s="53">
        <v>0.11017714022233986</v>
      </c>
      <c r="G7" s="53">
        <v>2.6520376175548588E-2</v>
      </c>
      <c r="H7" s="53">
        <v>0.13734827889320833</v>
      </c>
      <c r="I7" s="53">
        <v>9.3318590622125233E-2</v>
      </c>
      <c r="J7" s="53">
        <v>0.13833099171978461</v>
      </c>
      <c r="K7" s="53">
        <v>0</v>
      </c>
      <c r="L7" s="53">
        <v>0.15956614363047</v>
      </c>
      <c r="M7" s="53">
        <v>0.18767722653230678</v>
      </c>
      <c r="N7" s="53">
        <v>0</v>
      </c>
      <c r="O7" s="53">
        <v>0.12933145055777667</v>
      </c>
    </row>
    <row r="8" spans="1:15" x14ac:dyDescent="0.35">
      <c r="B8" s="18" t="s">
        <v>57</v>
      </c>
      <c r="C8" s="53">
        <v>0.53371232053054207</v>
      </c>
      <c r="D8" s="53">
        <v>0.38119761839198946</v>
      </c>
      <c r="E8" s="53">
        <v>0.63865519853325148</v>
      </c>
      <c r="F8" s="53">
        <v>0.3285452933192165</v>
      </c>
      <c r="G8" s="53">
        <v>0.26959247648902823</v>
      </c>
      <c r="H8" s="53">
        <v>0.37524274758746856</v>
      </c>
      <c r="I8" s="53">
        <v>0.61549853178321923</v>
      </c>
      <c r="J8" s="53">
        <v>0.56224662406089476</v>
      </c>
      <c r="K8" s="53">
        <v>0</v>
      </c>
      <c r="L8" s="53">
        <v>0.45180743085899516</v>
      </c>
      <c r="M8" s="53">
        <v>0.47700369130689019</v>
      </c>
      <c r="N8" s="53">
        <v>0</v>
      </c>
      <c r="O8" s="53">
        <v>0.46996966285346659</v>
      </c>
    </row>
    <row r="9" spans="1:15" x14ac:dyDescent="0.35">
      <c r="B9" s="18" t="s">
        <v>5</v>
      </c>
      <c r="C9" s="53">
        <v>5.2143479530131327E-2</v>
      </c>
      <c r="D9" s="53">
        <v>0.24338740565454281</v>
      </c>
      <c r="E9" s="53">
        <v>0.12024484989152695</v>
      </c>
      <c r="F9" s="53">
        <v>0.32405321746956062</v>
      </c>
      <c r="G9" s="53">
        <v>0.51601855799373042</v>
      </c>
      <c r="H9" s="53">
        <v>0.18354430453540665</v>
      </c>
      <c r="I9" s="53">
        <v>9.0159539889968096E-2</v>
      </c>
      <c r="J9" s="53">
        <v>8.3464156624296043E-2</v>
      </c>
      <c r="K9" s="53">
        <v>1</v>
      </c>
      <c r="L9" s="53">
        <v>7.7342513052512149E-2</v>
      </c>
      <c r="M9" s="53">
        <v>7.6022149765519936E-2</v>
      </c>
      <c r="N9" s="53">
        <v>1</v>
      </c>
      <c r="O9" s="53">
        <v>0.13445424158084943</v>
      </c>
    </row>
    <row r="10" spans="1:15" x14ac:dyDescent="0.35">
      <c r="B10" s="18" t="s">
        <v>58</v>
      </c>
      <c r="C10" s="53">
        <v>7.480702189432506E-2</v>
      </c>
      <c r="D10" s="53">
        <v>9.3910511853924315E-3</v>
      </c>
      <c r="E10" s="53">
        <v>2.4834557111295081E-2</v>
      </c>
      <c r="F10" s="53">
        <v>5.3892449973530964E-3</v>
      </c>
      <c r="G10" s="53">
        <v>2.8840125391849528E-3</v>
      </c>
      <c r="H10" s="53">
        <v>4.6801008918362684E-3</v>
      </c>
      <c r="I10" s="53">
        <v>1.4661257944754789E-3</v>
      </c>
      <c r="J10" s="53">
        <v>1.2827005173587471E-2</v>
      </c>
      <c r="K10" s="53">
        <v>0</v>
      </c>
      <c r="L10" s="53">
        <v>1.614357776337115E-2</v>
      </c>
      <c r="M10" s="53">
        <v>1.8349532774583375E-2</v>
      </c>
      <c r="N10" s="53">
        <v>0</v>
      </c>
      <c r="O10" s="53">
        <v>1.5973409061140774E-2</v>
      </c>
    </row>
    <row r="11" spans="1:15" x14ac:dyDescent="0.35">
      <c r="B11" s="18" t="s">
        <v>59</v>
      </c>
      <c r="C11" s="53">
        <v>2.8971324703309573E-5</v>
      </c>
      <c r="D11" s="53">
        <v>2.1825946104015701E-6</v>
      </c>
      <c r="E11" s="53">
        <v>9.8610195912530711E-6</v>
      </c>
      <c r="F11" s="53">
        <v>1.3029348861831657E-5</v>
      </c>
      <c r="G11" s="53">
        <v>0</v>
      </c>
      <c r="H11" s="53">
        <v>3.8188517417486089E-4</v>
      </c>
      <c r="I11" s="53">
        <v>2.2188626950428371E-4</v>
      </c>
      <c r="J11" s="53">
        <v>0</v>
      </c>
      <c r="K11" s="53">
        <v>0</v>
      </c>
      <c r="L11" s="53">
        <v>7.7471636953163245E-5</v>
      </c>
      <c r="M11" s="53">
        <v>0</v>
      </c>
      <c r="N11" s="53">
        <v>0</v>
      </c>
      <c r="O11" s="53">
        <v>7.6141867984726454E-5</v>
      </c>
    </row>
    <row r="12" spans="1:15" x14ac:dyDescent="0.35">
      <c r="B12" s="23"/>
      <c r="C12" s="21">
        <f>SUM(C3:C11)</f>
        <v>1</v>
      </c>
      <c r="D12" s="21">
        <f t="shared" ref="D12:O12" si="0">SUM(D3:D11)</f>
        <v>1.0000000000000002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0.99999999999999989</v>
      </c>
      <c r="J12" s="21">
        <f t="shared" si="0"/>
        <v>0.99999999999999989</v>
      </c>
      <c r="K12" s="21">
        <f t="shared" si="0"/>
        <v>1</v>
      </c>
      <c r="L12" s="21">
        <f t="shared" si="0"/>
        <v>1.0000000000000002</v>
      </c>
      <c r="M12" s="21">
        <f t="shared" si="0"/>
        <v>1</v>
      </c>
      <c r="N12" s="21">
        <f t="shared" si="0"/>
        <v>1</v>
      </c>
      <c r="O12" s="21">
        <f t="shared" si="0"/>
        <v>1</v>
      </c>
    </row>
    <row r="13" spans="1:15" x14ac:dyDescent="0.35">
      <c r="C13" s="30"/>
      <c r="D13" s="30"/>
      <c r="E13" s="30"/>
      <c r="F13" s="30"/>
      <c r="G13" s="30"/>
      <c r="H13" s="30"/>
      <c r="I13" s="30"/>
      <c r="J13" s="30"/>
      <c r="K13" s="30"/>
    </row>
    <row r="17" spans="2:11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D17" sqref="D17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29 September 2023</v>
      </c>
    </row>
    <row r="2" spans="1:13" x14ac:dyDescent="0.35">
      <c r="A2" s="17"/>
      <c r="B2" s="18" t="s">
        <v>40</v>
      </c>
      <c r="C2" s="18" t="s">
        <v>77</v>
      </c>
      <c r="D2" s="57" t="s">
        <v>81</v>
      </c>
      <c r="E2" s="57" t="s">
        <v>72</v>
      </c>
      <c r="K2" s="15"/>
      <c r="L2" s="15"/>
    </row>
    <row r="3" spans="1:13" x14ac:dyDescent="0.35">
      <c r="B3" s="18" t="s">
        <v>53</v>
      </c>
      <c r="C3" s="51">
        <v>544814011</v>
      </c>
      <c r="D3" s="50">
        <v>0</v>
      </c>
      <c r="E3" s="60">
        <v>544814011</v>
      </c>
      <c r="K3" s="15"/>
      <c r="L3" s="15"/>
      <c r="M3" s="54"/>
    </row>
    <row r="4" spans="1:13" x14ac:dyDescent="0.35">
      <c r="B4" s="18" t="s">
        <v>73</v>
      </c>
      <c r="C4" s="51">
        <v>52139000000</v>
      </c>
      <c r="D4" s="50">
        <v>14711600000</v>
      </c>
      <c r="E4" s="60">
        <v>66850600000</v>
      </c>
      <c r="K4" s="15"/>
      <c r="L4" s="15"/>
      <c r="M4" s="54"/>
    </row>
    <row r="5" spans="1:13" x14ac:dyDescent="0.35">
      <c r="B5" s="18" t="s">
        <v>54</v>
      </c>
      <c r="C5" s="51">
        <v>240550000</v>
      </c>
      <c r="D5" s="50">
        <v>284000000</v>
      </c>
      <c r="E5" s="60">
        <v>524550000</v>
      </c>
      <c r="K5" s="15"/>
      <c r="L5" s="15"/>
      <c r="M5" s="54"/>
    </row>
    <row r="6" spans="1:13" x14ac:dyDescent="0.35">
      <c r="B6" s="18" t="s">
        <v>55</v>
      </c>
      <c r="C6" s="51">
        <v>1248500000</v>
      </c>
      <c r="D6" s="50">
        <v>23680000</v>
      </c>
      <c r="E6" s="60">
        <v>1272180000</v>
      </c>
      <c r="K6" s="15"/>
      <c r="L6" s="15"/>
      <c r="M6" s="54"/>
    </row>
    <row r="7" spans="1:13" x14ac:dyDescent="0.35">
      <c r="B7" s="18" t="s">
        <v>56</v>
      </c>
      <c r="C7" s="51">
        <v>447700000</v>
      </c>
      <c r="D7" s="50">
        <v>241414909</v>
      </c>
      <c r="E7" s="60">
        <v>689114909</v>
      </c>
      <c r="K7" s="15"/>
      <c r="L7" s="15"/>
      <c r="M7" s="54"/>
    </row>
    <row r="8" spans="1:13" x14ac:dyDescent="0.35">
      <c r="B8" s="18" t="s">
        <v>57</v>
      </c>
      <c r="C8" s="51">
        <v>650000</v>
      </c>
      <c r="D8" s="50">
        <v>1645694</v>
      </c>
      <c r="E8" s="60">
        <v>2295694</v>
      </c>
      <c r="K8" s="15"/>
      <c r="L8" s="15"/>
      <c r="M8" s="54"/>
    </row>
    <row r="9" spans="1:13" x14ac:dyDescent="0.35">
      <c r="B9" s="18" t="s">
        <v>5</v>
      </c>
      <c r="C9" s="51">
        <v>9277787386</v>
      </c>
      <c r="D9" s="50">
        <v>4086576995</v>
      </c>
      <c r="E9" s="60">
        <v>13364364381</v>
      </c>
      <c r="K9" s="15"/>
      <c r="L9" s="15"/>
      <c r="M9" s="54"/>
    </row>
    <row r="10" spans="1:13" x14ac:dyDescent="0.35">
      <c r="B10" s="18" t="s">
        <v>58</v>
      </c>
      <c r="C10" s="51">
        <v>170998603</v>
      </c>
      <c r="D10" s="50">
        <v>46082402</v>
      </c>
      <c r="E10" s="60">
        <v>217081005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v>0</v>
      </c>
      <c r="K11" s="15"/>
      <c r="L11" s="15"/>
      <c r="M11" s="54"/>
    </row>
    <row r="12" spans="1:13" x14ac:dyDescent="0.35">
      <c r="B12" s="19"/>
      <c r="C12" s="20">
        <v>64070000000</v>
      </c>
      <c r="D12" s="20">
        <v>19395000000</v>
      </c>
      <c r="E12" s="20">
        <v>83465000000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G7" sqref="G7"/>
    </sheetView>
  </sheetViews>
  <sheetFormatPr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29 September 2023</v>
      </c>
    </row>
    <row r="3" spans="1:5" ht="13" x14ac:dyDescent="0.3">
      <c r="B3" s="18" t="s">
        <v>40</v>
      </c>
      <c r="C3" s="22" t="s">
        <v>77</v>
      </c>
      <c r="D3" s="43" t="s">
        <v>81</v>
      </c>
      <c r="E3" s="43" t="s">
        <v>72</v>
      </c>
    </row>
    <row r="4" spans="1:5" ht="13" x14ac:dyDescent="0.3">
      <c r="B4" s="18" t="s">
        <v>53</v>
      </c>
      <c r="C4" s="53">
        <v>8.5034183081005143E-3</v>
      </c>
      <c r="D4" s="53">
        <v>0</v>
      </c>
      <c r="E4" s="53">
        <v>6.5274547534894863E-3</v>
      </c>
    </row>
    <row r="5" spans="1:5" ht="13" x14ac:dyDescent="0.3">
      <c r="B5" s="18" t="s">
        <v>73</v>
      </c>
      <c r="C5" s="53">
        <v>0.81378180115498677</v>
      </c>
      <c r="D5" s="53">
        <v>0.75852539314256251</v>
      </c>
      <c r="E5" s="53">
        <v>0.80094171209489007</v>
      </c>
    </row>
    <row r="6" spans="1:5" ht="13" x14ac:dyDescent="0.3">
      <c r="B6" s="18" t="s">
        <v>54</v>
      </c>
      <c r="C6" s="53">
        <v>3.7544872795380055E-3</v>
      </c>
      <c r="D6" s="53">
        <v>1.4642949213714875E-2</v>
      </c>
      <c r="E6" s="53">
        <v>6.2846702210507402E-3</v>
      </c>
    </row>
    <row r="7" spans="1:5" ht="13" x14ac:dyDescent="0.3">
      <c r="B7" s="18" t="s">
        <v>55</v>
      </c>
      <c r="C7" s="53">
        <v>1.9486499141563914E-2</v>
      </c>
      <c r="D7" s="53">
        <v>1.2209332302139727E-3</v>
      </c>
      <c r="E7" s="53">
        <v>1.5242077517522315E-2</v>
      </c>
    </row>
    <row r="8" spans="1:5" ht="13" x14ac:dyDescent="0.3">
      <c r="B8" s="18" t="s">
        <v>56</v>
      </c>
      <c r="C8" s="53">
        <v>6.9876697362260031E-3</v>
      </c>
      <c r="D8" s="53">
        <v>1.2447275534931683E-2</v>
      </c>
      <c r="E8" s="53">
        <v>8.2563339004373092E-3</v>
      </c>
    </row>
    <row r="9" spans="1:5" ht="13" x14ac:dyDescent="0.3">
      <c r="B9" s="18" t="s">
        <v>57</v>
      </c>
      <c r="C9" s="53">
        <v>1.0145153738098954E-5</v>
      </c>
      <c r="D9" s="53">
        <v>8.485145656096932E-5</v>
      </c>
      <c r="E9" s="53">
        <v>2.750487030491823E-5</v>
      </c>
    </row>
    <row r="10" spans="1:5" ht="13" x14ac:dyDescent="0.3">
      <c r="B10" s="18" t="s">
        <v>5</v>
      </c>
      <c r="C10" s="53">
        <v>0.1448070452005619</v>
      </c>
      <c r="D10" s="53">
        <v>0.21070260350605827</v>
      </c>
      <c r="E10" s="53">
        <v>0.16011938394536632</v>
      </c>
    </row>
    <row r="11" spans="1:5" ht="13" x14ac:dyDescent="0.3">
      <c r="B11" s="18" t="s">
        <v>58</v>
      </c>
      <c r="C11" s="53">
        <v>2.6689340252848445E-3</v>
      </c>
      <c r="D11" s="53">
        <v>2.375993915957721E-3</v>
      </c>
      <c r="E11" s="53">
        <v>2.6008626969388367E-3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v>1</v>
      </c>
      <c r="D13" s="21">
        <v>1</v>
      </c>
      <c r="E13" s="21"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2023-10-05T11:58:45Z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