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5\Aug\"/>
    </mc:Choice>
  </mc:AlternateContent>
  <xr:revisionPtr revIDLastSave="0" documentId="13_ncr:1_{C0E6DF3F-01F5-42AB-9944-4EB82DF1D6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<sst xmlns="http://schemas.openxmlformats.org/spreadsheetml/2006/main" count="353" uniqueCount="95">
  <si>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</si>
  <si>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</si>
  <si>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</si>
  <si>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</si>
  <si>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</si>
  <si>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</si>
  <si>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</si>
  <si>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</si>
  <si>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</si>
  <si>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</si>
  <si>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</si>
  <si>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</si>
  <si>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</si>
  <si>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</si>
  <si>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</si>
  <si>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</si>
  <si>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</si>
  <si>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</si>
  <si>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</si>
  <si>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</si>
  <si>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</si>
  <si>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</si>
  <si>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</si>
  <si>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</si>
  <si>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</si>
  <si>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</si>
  <si>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</si>
  <si>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</si>
  <si>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</si>
  <si>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</si>
  <si>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</si>
  <si>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</si>
  <si>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</si>
  <si>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</si>
  <si>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</si>
  <si>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</si>
  <si>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</si>
  <si>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</si>
  <si>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</si>
  <si>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</si>
  <si>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</si>
  <si>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</si>
  <si>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</si>
  <si>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</si>
  <si>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</si>
  <si>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</si>
  <si>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</si>
  <si>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</si>
  <si>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</si>
  <si>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</si>
  <si>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</si>
  <si>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</si>
  <si>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</si>
  <si>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</si>
  <si>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</si>
  <si>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</si>
  <si>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</si>
  <si>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</si>
  <si>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</si>
  <si>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</si>
  <si>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</si>
  <si>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</si>
  <si>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</si>
  <si>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</si>
  <si>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</si>
  <si>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</si>
  <si>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</si>
  <si>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</si>
  <si>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</si>
  <si>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</si>
  <si>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</si>
  <si>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</si>
  <si>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</si>
  <si>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</si>
  <si>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</si>
  <si>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</si>
  <si>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</si>
  <si>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</si>
  <si>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</si>
  <si>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</si>
  <si>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</si>
  <si>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</si>
  <si>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</si>
  <si>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</si>
  <si>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</si>
  <si>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</si>
  <si>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</si>
  <si>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</si>
  <si>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</si>
  <si>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</si>
  <si>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</si>
  <si>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</si>
  <si>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RN2032 (2032)</t>
  </si>
  <si>
    <t>29 August 2025</t>
  </si>
  <si>
    <t>RN2035 (2035)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</si>
</sst>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3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  <xf numFmtId="0" fontId="3" fillId="0" borderId="24" xfId="55" applyFont="1" applyBorder="1"/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tabSelected="1" zoomScale="50" zoomScaleNormal="50" workbookViewId="0">
      <pane ySplit="1" topLeftCell="A164" activePane="bottomLeft" state="frozen"/>
      <selection pane="bottomLeft" activeCell="C194" sqref="C194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  <row r="176" spans="1:8" x14ac:dyDescent="0.35">
      <c r="B176" s="5" t="s">
        <v>15</v>
      </c>
      <c r="C176" s="6">
        <v>0.24476606255862204</v>
      </c>
      <c r="D176" s="6">
        <v>0.21511751584674363</v>
      </c>
      <c r="E176" s="6">
        <v>7.5198683052154061E-2</v>
      </c>
      <c r="F176" s="6">
        <v>0.22535460579310077</v>
      </c>
      <c r="G176" s="6">
        <v>0.22658465060602445</v>
      </c>
      <c r="H176" s="6">
        <v>1.297848214335507E-2</v>
      </c>
    </row>
    <row r="177" spans="2:8" x14ac:dyDescent="0.35">
      <c r="B177" s="5" t="s">
        <v>34</v>
      </c>
      <c r="C177" s="6">
        <v>0.25074492506486762</v>
      </c>
      <c r="D177" s="6">
        <v>0.2151969663295947</v>
      </c>
      <c r="E177" s="6">
        <v>7.508559814965024E-2</v>
      </c>
      <c r="F177" s="6">
        <v>0.22149054138815949</v>
      </c>
      <c r="G177" s="6">
        <v>0.22453714027405225</v>
      </c>
      <c r="H177" s="6">
        <v>1.2944828793675695E-2</v>
      </c>
    </row>
    <row r="178" spans="2:8" x14ac:dyDescent="0.35">
      <c r="B178" s="5" t="s">
        <v>27</v>
      </c>
      <c r="C178" s="6">
        <v>0.24659002107974323</v>
      </c>
      <c r="D178" s="6">
        <v>0.21572896009578812</v>
      </c>
      <c r="E178" s="6">
        <v>7.6010382002739421E-2</v>
      </c>
      <c r="F178" s="6">
        <v>0.22079269523242323</v>
      </c>
      <c r="G178" s="6">
        <v>0.22782584871456291</v>
      </c>
      <c r="H178" s="6">
        <v>1.3052092874743104E-2</v>
      </c>
    </row>
    <row r="179" spans="2:8" x14ac:dyDescent="0.35">
      <c r="B179" s="5" t="s">
        <v>37</v>
      </c>
      <c r="C179" s="6">
        <v>0.25198227333831774</v>
      </c>
      <c r="D179" s="6">
        <v>0.20665516158520569</v>
      </c>
      <c r="E179" s="6">
        <v>7.5711652117946712E-2</v>
      </c>
      <c r="F179" s="6">
        <v>0.21856492562641905</v>
      </c>
      <c r="G179" s="6">
        <v>0.23398449521921288</v>
      </c>
      <c r="H179" s="6">
        <v>1.3101492112897869E-2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59" workbookViewId="0">
      <selection activeCell="H21" sqref="H21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93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109705251965.95</v>
      </c>
      <c r="D3" s="64">
        <v>85207310213.48999</v>
      </c>
      <c r="E3" s="64">
        <v>80715335357</v>
      </c>
      <c r="F3" s="64">
        <v>71597307893</v>
      </c>
      <c r="G3" s="64">
        <v>4542974498</v>
      </c>
      <c r="H3" s="64">
        <v>158014778977</v>
      </c>
      <c r="I3" s="64">
        <v>36797614015.32</v>
      </c>
      <c r="J3" s="64">
        <v>105947628709</v>
      </c>
      <c r="K3" s="64">
        <v>9564751276</v>
      </c>
      <c r="L3" s="64">
        <v>113316999098</v>
      </c>
      <c r="M3" s="64">
        <v>44732148586</v>
      </c>
      <c r="N3" s="64">
        <v>96938354959</v>
      </c>
      <c r="O3" s="64">
        <v>103632605022</v>
      </c>
      <c r="P3" s="64">
        <v>15530209937</v>
      </c>
      <c r="Q3" s="54">
        <v>1036243270506.76</v>
      </c>
      <c r="R3" s="51"/>
    </row>
    <row r="4" spans="1:18" x14ac:dyDescent="0.35">
      <c r="B4" s="18" t="s">
        <v>71</v>
      </c>
      <c r="C4" s="64">
        <v>96641805551.649994</v>
      </c>
      <c r="D4" s="64">
        <v>93250565056.540009</v>
      </c>
      <c r="E4" s="64">
        <v>46136505120</v>
      </c>
      <c r="F4" s="64">
        <v>89556764075.199997</v>
      </c>
      <c r="G4" s="64">
        <v>13882939042</v>
      </c>
      <c r="H4" s="64">
        <v>47885640526.790001</v>
      </c>
      <c r="I4" s="64">
        <v>15373196443</v>
      </c>
      <c r="J4" s="64">
        <v>47093059767.690002</v>
      </c>
      <c r="K4" s="64">
        <v>13029203324.01</v>
      </c>
      <c r="L4" s="64">
        <v>29689815168</v>
      </c>
      <c r="M4" s="64">
        <v>9048355088</v>
      </c>
      <c r="N4" s="64">
        <v>34231155091.099998</v>
      </c>
      <c r="O4" s="64">
        <v>135789969902.58</v>
      </c>
      <c r="P4" s="64">
        <v>10033490094</v>
      </c>
      <c r="Q4" s="54">
        <v>681642464250.55994</v>
      </c>
    </row>
    <row r="5" spans="1:18" x14ac:dyDescent="0.35">
      <c r="B5" s="18" t="s">
        <v>54</v>
      </c>
      <c r="C5" s="64">
        <v>13396018476.9</v>
      </c>
      <c r="D5" s="64">
        <v>17790093796</v>
      </c>
      <c r="E5" s="64">
        <v>11411082076</v>
      </c>
      <c r="F5" s="64">
        <v>12045300789</v>
      </c>
      <c r="G5" s="64">
        <v>779804240</v>
      </c>
      <c r="H5" s="64">
        <v>13435349600</v>
      </c>
      <c r="I5" s="64">
        <v>7887488381</v>
      </c>
      <c r="J5" s="64">
        <v>22871932707.75</v>
      </c>
      <c r="K5" s="64">
        <v>3360496060</v>
      </c>
      <c r="L5" s="64">
        <v>25068757405</v>
      </c>
      <c r="M5" s="64">
        <v>9784173741</v>
      </c>
      <c r="N5" s="64">
        <v>29918051718</v>
      </c>
      <c r="O5" s="64">
        <v>34967591107</v>
      </c>
      <c r="P5" s="64">
        <v>24745238400</v>
      </c>
      <c r="Q5" s="54">
        <v>227461378497.64999</v>
      </c>
    </row>
    <row r="6" spans="1:18" x14ac:dyDescent="0.35">
      <c r="B6" s="18" t="s">
        <v>55</v>
      </c>
      <c r="C6" s="64">
        <v>2438709603</v>
      </c>
      <c r="D6" s="64">
        <v>3828878609</v>
      </c>
      <c r="E6" s="64">
        <v>2434697360</v>
      </c>
      <c r="F6" s="64">
        <v>3621257166</v>
      </c>
      <c r="G6" s="64">
        <v>701276683</v>
      </c>
      <c r="H6" s="64">
        <v>3049822565</v>
      </c>
      <c r="I6" s="64">
        <v>395075096</v>
      </c>
      <c r="J6" s="64">
        <v>3839912330</v>
      </c>
      <c r="K6" s="64">
        <v>683039310</v>
      </c>
      <c r="L6" s="64">
        <v>2404641061</v>
      </c>
      <c r="M6" s="64">
        <v>592519264</v>
      </c>
      <c r="N6" s="64">
        <v>1869288313</v>
      </c>
      <c r="O6" s="64">
        <v>4202365326</v>
      </c>
      <c r="P6" s="64">
        <v>286070377</v>
      </c>
      <c r="Q6" s="54">
        <v>30347553063</v>
      </c>
    </row>
    <row r="7" spans="1:18" x14ac:dyDescent="0.35">
      <c r="B7" s="18" t="s">
        <v>56</v>
      </c>
      <c r="C7" s="64">
        <v>3002844027.73</v>
      </c>
      <c r="D7" s="64">
        <v>5288907791</v>
      </c>
      <c r="E7" s="64">
        <v>4179499295</v>
      </c>
      <c r="F7" s="64">
        <v>9484752340</v>
      </c>
      <c r="G7" s="64">
        <v>584984976</v>
      </c>
      <c r="H7" s="64">
        <v>7670877946</v>
      </c>
      <c r="I7" s="64">
        <v>3801136043</v>
      </c>
      <c r="J7" s="64">
        <v>10501859880</v>
      </c>
      <c r="K7" s="64">
        <v>1133936473</v>
      </c>
      <c r="L7" s="64">
        <v>10121565345</v>
      </c>
      <c r="M7" s="64">
        <v>2829111897</v>
      </c>
      <c r="N7" s="64">
        <v>7353022423</v>
      </c>
      <c r="O7" s="64">
        <v>12317160715</v>
      </c>
      <c r="P7" s="64">
        <v>1638015225</v>
      </c>
      <c r="Q7" s="54">
        <v>79907674376.729996</v>
      </c>
    </row>
    <row r="8" spans="1:18" x14ac:dyDescent="0.35">
      <c r="B8" s="18" t="s">
        <v>57</v>
      </c>
      <c r="C8" s="64">
        <v>2912037699.5100002</v>
      </c>
      <c r="D8" s="64">
        <v>53969976395</v>
      </c>
      <c r="E8" s="64">
        <v>21719195360</v>
      </c>
      <c r="F8" s="64">
        <v>52327777418</v>
      </c>
      <c r="G8" s="64">
        <v>3430109903</v>
      </c>
      <c r="H8" s="64">
        <v>51595395090</v>
      </c>
      <c r="I8" s="64">
        <v>15890271102</v>
      </c>
      <c r="J8" s="64">
        <v>60286456696</v>
      </c>
      <c r="K8" s="64">
        <v>2526626178</v>
      </c>
      <c r="L8" s="64">
        <v>43674981544</v>
      </c>
      <c r="M8" s="64">
        <v>8927736722</v>
      </c>
      <c r="N8" s="64">
        <v>54057188965</v>
      </c>
      <c r="O8" s="64">
        <v>72080981897</v>
      </c>
      <c r="P8" s="64">
        <v>7278087070</v>
      </c>
      <c r="Q8" s="54">
        <v>450676822039.51001</v>
      </c>
    </row>
    <row r="9" spans="1:18" x14ac:dyDescent="0.35">
      <c r="B9" s="18" t="s">
        <v>5</v>
      </c>
      <c r="C9" s="64">
        <v>72466670202.699997</v>
      </c>
      <c r="D9" s="64">
        <v>81825258113.970001</v>
      </c>
      <c r="E9" s="64">
        <v>49943648893</v>
      </c>
      <c r="F9" s="64">
        <v>106006021684</v>
      </c>
      <c r="G9" s="64">
        <v>13903727882</v>
      </c>
      <c r="H9" s="64">
        <v>81011442812.209991</v>
      </c>
      <c r="I9" s="64">
        <v>21131419762.68</v>
      </c>
      <c r="J9" s="64">
        <v>91155514664.25</v>
      </c>
      <c r="K9" s="64">
        <v>14046547649.99</v>
      </c>
      <c r="L9" s="64">
        <v>74491319856</v>
      </c>
      <c r="M9" s="64">
        <v>16131427827</v>
      </c>
      <c r="N9" s="64">
        <v>72077815974</v>
      </c>
      <c r="O9" s="64">
        <v>77499309937.419998</v>
      </c>
      <c r="P9" s="64">
        <v>29015196569</v>
      </c>
      <c r="Q9" s="54">
        <v>800705321828.22009</v>
      </c>
    </row>
    <row r="10" spans="1:18" x14ac:dyDescent="0.35">
      <c r="B10" s="18" t="s">
        <v>58</v>
      </c>
      <c r="C10" s="64">
        <v>2196418146.4499998</v>
      </c>
      <c r="D10" s="64">
        <v>3847058500</v>
      </c>
      <c r="E10" s="64">
        <v>1636648043</v>
      </c>
      <c r="F10" s="64">
        <v>4884093257.8000002</v>
      </c>
      <c r="G10" s="64">
        <v>84687365</v>
      </c>
      <c r="H10" s="64">
        <v>6443984832</v>
      </c>
      <c r="I10" s="64">
        <v>2982351302</v>
      </c>
      <c r="J10" s="64">
        <v>5326902569.3099995</v>
      </c>
      <c r="K10" s="64">
        <v>605068096</v>
      </c>
      <c r="L10" s="64">
        <v>7392909499</v>
      </c>
      <c r="M10" s="64">
        <v>1336383371</v>
      </c>
      <c r="N10" s="64">
        <v>1570794462.9000001</v>
      </c>
      <c r="O10" s="64">
        <v>2434865669</v>
      </c>
      <c r="P10" s="64">
        <v>988201519</v>
      </c>
      <c r="Q10" s="54">
        <v>41730366632.459999</v>
      </c>
    </row>
    <row r="11" spans="1:18" x14ac:dyDescent="0.35">
      <c r="A11" s="17"/>
      <c r="B11" s="19" t="s">
        <v>59</v>
      </c>
      <c r="C11" s="65">
        <v>760000565</v>
      </c>
      <c r="D11" s="65">
        <v>150611556</v>
      </c>
      <c r="E11" s="65">
        <v>549740</v>
      </c>
      <c r="F11" s="65">
        <v>34216328.000061035</v>
      </c>
      <c r="G11" s="65">
        <v>0</v>
      </c>
      <c r="H11" s="65">
        <v>360453540.99993896</v>
      </c>
      <c r="I11" s="65">
        <v>4000000</v>
      </c>
      <c r="J11" s="65">
        <v>2478683</v>
      </c>
      <c r="K11" s="65">
        <v>0</v>
      </c>
      <c r="L11" s="65">
        <v>5821732</v>
      </c>
      <c r="M11" s="65">
        <v>0</v>
      </c>
      <c r="N11" s="65">
        <v>8205000</v>
      </c>
      <c r="O11" s="65">
        <v>76000</v>
      </c>
      <c r="P11" s="65">
        <v>0</v>
      </c>
      <c r="Q11" s="54">
        <v>1326413145</v>
      </c>
    </row>
    <row r="12" spans="1:18" x14ac:dyDescent="0.35">
      <c r="B12" s="19"/>
      <c r="C12" s="20">
        <v>303519756238.89001</v>
      </c>
      <c r="D12" s="20">
        <v>345158660031</v>
      </c>
      <c r="E12" s="20">
        <v>218177161244</v>
      </c>
      <c r="F12" s="20">
        <v>349557490951.00006</v>
      </c>
      <c r="G12" s="20">
        <v>37910504589</v>
      </c>
      <c r="H12" s="20">
        <v>369467745889.99994</v>
      </c>
      <c r="I12" s="20">
        <v>104262552145</v>
      </c>
      <c r="J12" s="20">
        <v>347025746007</v>
      </c>
      <c r="K12" s="20">
        <v>44949668367</v>
      </c>
      <c r="L12" s="20">
        <v>306166810708</v>
      </c>
      <c r="M12" s="20">
        <v>93381856496</v>
      </c>
      <c r="N12" s="20">
        <v>298023876906</v>
      </c>
      <c r="O12" s="20">
        <v>442924925576</v>
      </c>
      <c r="P12" s="20">
        <v>89514509191</v>
      </c>
      <c r="Q12" s="20">
        <v>3350041264339.8901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B1" zoomScale="74" workbookViewId="0">
      <selection activeCell="Q12" sqref="Q12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29 August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0.36144352949336434</v>
      </c>
      <c r="D3" s="67">
        <v>0.2468641818398449</v>
      </c>
      <c r="E3" s="67">
        <v>0.36995318344403344</v>
      </c>
      <c r="F3" s="67">
        <v>0.20482269654188673</v>
      </c>
      <c r="G3" s="67">
        <v>0.11983418704793963</v>
      </c>
      <c r="H3" s="67">
        <v>0.427682201585318</v>
      </c>
      <c r="I3" s="67">
        <v>0.35293222022941495</v>
      </c>
      <c r="J3" s="67">
        <v>0.30530192623478397</v>
      </c>
      <c r="K3" s="67">
        <v>0.21278802766478261</v>
      </c>
      <c r="L3" s="67">
        <v>0.37011522847939793</v>
      </c>
      <c r="M3" s="67">
        <v>0.47902398029446003</v>
      </c>
      <c r="N3" s="67">
        <v>0.32527043123318411</v>
      </c>
      <c r="O3" s="67">
        <v>0.23397329668731418</v>
      </c>
      <c r="P3" s="67">
        <v>0.17349377299117721</v>
      </c>
      <c r="Q3" s="67">
        <v>0.30932253925861625</v>
      </c>
    </row>
    <row r="4" spans="1:17" x14ac:dyDescent="0.35">
      <c r="B4" s="47" t="s">
        <v>71</v>
      </c>
      <c r="C4" s="67">
        <v>0.31840367411071108</v>
      </c>
      <c r="D4" s="67">
        <v>0.27016724728321989</v>
      </c>
      <c r="E4" s="67">
        <v>0.21146349533993114</v>
      </c>
      <c r="F4" s="67">
        <v>0.25620038589804905</v>
      </c>
      <c r="G4" s="67">
        <v>0.36620296122432072</v>
      </c>
      <c r="H4" s="67">
        <v>0.129607093066919</v>
      </c>
      <c r="I4" s="67">
        <v>0.14744696083805997</v>
      </c>
      <c r="J4" s="67">
        <v>0.13570480089606973</v>
      </c>
      <c r="K4" s="67">
        <v>0.28986205677048882</v>
      </c>
      <c r="L4" s="67">
        <v>9.6972676755339174E-2</v>
      </c>
      <c r="M4" s="67">
        <v>9.6896286147272997E-2</v>
      </c>
      <c r="N4" s="67">
        <v>0.11486044489615468</v>
      </c>
      <c r="O4" s="67">
        <v>0.30657558891270897</v>
      </c>
      <c r="P4" s="67">
        <v>0.11208786357294567</v>
      </c>
      <c r="Q4" s="66">
        <v>0.20413961563726857</v>
      </c>
    </row>
    <row r="5" spans="1:17" x14ac:dyDescent="0.35">
      <c r="B5" s="47" t="s">
        <v>54</v>
      </c>
      <c r="C5" s="67">
        <v>4.4135573390341194E-2</v>
      </c>
      <c r="D5" s="67">
        <v>5.1541786013429895E-2</v>
      </c>
      <c r="E5" s="67">
        <v>5.2301909195886613E-2</v>
      </c>
      <c r="F5" s="67">
        <v>3.4458711659217378E-2</v>
      </c>
      <c r="G5" s="67">
        <v>2.0569608567707266E-2</v>
      </c>
      <c r="H5" s="67">
        <v>3.6364066280362262E-2</v>
      </c>
      <c r="I5" s="67">
        <v>7.5650252355521794E-2</v>
      </c>
      <c r="J5" s="67">
        <v>6.5908460599602425E-2</v>
      </c>
      <c r="K5" s="67">
        <v>7.4761309306280069E-2</v>
      </c>
      <c r="L5" s="67">
        <v>8.1879408636845313E-2</v>
      </c>
      <c r="M5" s="67">
        <v>0.1047759608572261</v>
      </c>
      <c r="N5" s="67">
        <v>0.10038810322381143</v>
      </c>
      <c r="O5" s="67">
        <v>7.8946993243892358E-2</v>
      </c>
      <c r="P5" s="67">
        <v>0.27643829613365006</v>
      </c>
      <c r="Q5" s="66">
        <v>6.7218271418500272E-2</v>
      </c>
    </row>
    <row r="6" spans="1:17" x14ac:dyDescent="0.35">
      <c r="B6" s="47" t="s">
        <v>55</v>
      </c>
      <c r="C6" s="67">
        <v>8.0347639745749367E-3</v>
      </c>
      <c r="D6" s="67">
        <v>1.1093097327055662E-2</v>
      </c>
      <c r="E6" s="67">
        <v>1.1159267753406777E-2</v>
      </c>
      <c r="F6" s="67">
        <v>1.035954674050346E-2</v>
      </c>
      <c r="G6" s="67">
        <v>1.8498215484145267E-2</v>
      </c>
      <c r="H6" s="67">
        <v>8.2546381894673167E-3</v>
      </c>
      <c r="I6" s="67">
        <v>3.7892329304443002E-3</v>
      </c>
      <c r="J6" s="67">
        <v>1.1065208775381592E-2</v>
      </c>
      <c r="K6" s="67">
        <v>1.5195647372149609E-2</v>
      </c>
      <c r="L6" s="67">
        <v>7.8540226337379671E-3</v>
      </c>
      <c r="M6" s="67">
        <v>6.345121913756132E-3</v>
      </c>
      <c r="N6" s="67">
        <v>6.2722770148701673E-3</v>
      </c>
      <c r="O6" s="67">
        <v>9.487759851254815E-3</v>
      </c>
      <c r="P6" s="67">
        <v>3.195798978125461E-3</v>
      </c>
      <c r="Q6" s="66">
        <v>9.3615198025416065E-3</v>
      </c>
    </row>
    <row r="7" spans="1:17" x14ac:dyDescent="0.35">
      <c r="B7" s="47" t="s">
        <v>56</v>
      </c>
      <c r="C7" s="67">
        <v>9.8934055065811408E-3</v>
      </c>
      <c r="D7" s="67">
        <v>1.5323120649862829E-2</v>
      </c>
      <c r="E7" s="67">
        <v>1.9156447316343195E-2</v>
      </c>
      <c r="F7" s="67">
        <v>2.7133597721496247E-2</v>
      </c>
      <c r="G7" s="67">
        <v>1.5430682929230584E-2</v>
      </c>
      <c r="H7" s="67">
        <v>2.0761969160587614E-2</v>
      </c>
      <c r="I7" s="67">
        <v>3.6457347003300715E-2</v>
      </c>
      <c r="J7" s="67">
        <v>3.0262480524393606E-2</v>
      </c>
      <c r="K7" s="67">
        <v>2.522680398310757E-2</v>
      </c>
      <c r="L7" s="67">
        <v>3.3058989384232199E-2</v>
      </c>
      <c r="M7" s="67">
        <v>3.0296162479069848E-2</v>
      </c>
      <c r="N7" s="67">
        <v>2.4672595026066398E-2</v>
      </c>
      <c r="O7" s="67">
        <v>2.780868721484165E-2</v>
      </c>
      <c r="P7" s="67">
        <v>1.8298879587273546E-2</v>
      </c>
      <c r="Q7" s="66">
        <v>2.453949994057688E-2</v>
      </c>
    </row>
    <row r="8" spans="1:17" x14ac:dyDescent="0.35">
      <c r="B8" s="47" t="s">
        <v>57</v>
      </c>
      <c r="C8" s="67">
        <v>9.5942278538799133E-3</v>
      </c>
      <c r="D8" s="67">
        <v>0.1563628054128868</v>
      </c>
      <c r="E8" s="67">
        <v>9.9548436858201583E-2</v>
      </c>
      <c r="F8" s="67">
        <v>0.14969719938096007</v>
      </c>
      <c r="G8" s="67">
        <v>9.04791413405579E-2</v>
      </c>
      <c r="H8" s="67">
        <v>0.13964790070027189</v>
      </c>
      <c r="I8" s="67">
        <v>0.15240631247833916</v>
      </c>
      <c r="J8" s="67">
        <v>0.17372329687257249</v>
      </c>
      <c r="K8" s="67">
        <v>5.6210118334375385E-2</v>
      </c>
      <c r="L8" s="67">
        <v>0.14265093411987778</v>
      </c>
      <c r="M8" s="67">
        <v>9.5604618038220499E-2</v>
      </c>
      <c r="N8" s="67">
        <v>0.18138542967163074</v>
      </c>
      <c r="O8" s="67">
        <v>0.16273859910517016</v>
      </c>
      <c r="P8" s="67">
        <v>8.1306227736450076E-2</v>
      </c>
      <c r="Q8" s="66">
        <v>0.14006002305373402</v>
      </c>
    </row>
    <row r="9" spans="1:17" x14ac:dyDescent="0.35">
      <c r="B9" s="47" t="s">
        <v>5</v>
      </c>
      <c r="C9" s="67">
        <v>0.23875437665304383</v>
      </c>
      <c r="D9" s="67">
        <v>0.23706563847078607</v>
      </c>
      <c r="E9" s="67">
        <v>0.22891327675285481</v>
      </c>
      <c r="F9" s="67">
        <v>0.30325775996275134</v>
      </c>
      <c r="G9" s="67">
        <v>0.3667513274416892</v>
      </c>
      <c r="H9" s="67">
        <v>0.21926526391921958</v>
      </c>
      <c r="I9" s="67">
        <v>0.20267506720238457</v>
      </c>
      <c r="J9" s="67">
        <v>0.26267651813479931</v>
      </c>
      <c r="K9" s="67">
        <v>0.31249502299559423</v>
      </c>
      <c r="L9" s="67">
        <v>0.24330305327263083</v>
      </c>
      <c r="M9" s="67">
        <v>0.17274691714541987</v>
      </c>
      <c r="N9" s="67">
        <v>0.24185248753318558</v>
      </c>
      <c r="O9" s="67">
        <v>0.17497166102502884</v>
      </c>
      <c r="P9" s="67">
        <v>0.32413959291324873</v>
      </c>
      <c r="Q9" s="66">
        <v>0.24287543269786241</v>
      </c>
    </row>
    <row r="10" spans="1:17" x14ac:dyDescent="0.35">
      <c r="B10" s="47" t="s">
        <v>58</v>
      </c>
      <c r="C10" s="67">
        <v>7.2364915340841079E-3</v>
      </c>
      <c r="D10" s="67">
        <v>1.1145768440677342E-2</v>
      </c>
      <c r="E10" s="67">
        <v>7.5014636438946189E-3</v>
      </c>
      <c r="F10" s="67">
        <v>1.397221740124184E-2</v>
      </c>
      <c r="G10" s="67">
        <v>2.2338759644094171E-3</v>
      </c>
      <c r="H10" s="67">
        <v>1.7441264910627786E-2</v>
      </c>
      <c r="I10" s="67">
        <v>2.8604242277250079E-2</v>
      </c>
      <c r="J10" s="67">
        <v>1.5350165313678336E-2</v>
      </c>
      <c r="K10" s="67">
        <v>1.3461013573221676E-2</v>
      </c>
      <c r="L10" s="67">
        <v>2.4146671815616319E-2</v>
      </c>
      <c r="M10" s="67">
        <v>1.4310953124574513E-2</v>
      </c>
      <c r="N10" s="67">
        <v>5.2707000499676269E-3</v>
      </c>
      <c r="O10" s="67">
        <v>5.4972423731484256E-3</v>
      </c>
      <c r="P10" s="67">
        <v>1.1039568087129232E-2</v>
      </c>
      <c r="Q10" s="66">
        <v>1.1963268683713991E-2</v>
      </c>
    </row>
    <row r="11" spans="1:17" x14ac:dyDescent="0.35">
      <c r="B11" s="47" t="s">
        <v>59</v>
      </c>
      <c r="C11" s="67">
        <v>2.5039574834193976E-3</v>
      </c>
      <c r="D11" s="67">
        <v>4.3635456223660451E-4</v>
      </c>
      <c r="E11" s="67">
        <v>2.5196954477980138E-6</v>
      </c>
      <c r="F11" s="67">
        <v>9.7884693893907651E-5</v>
      </c>
      <c r="G11" s="67">
        <v>0</v>
      </c>
      <c r="H11" s="67">
        <v>9.756021872265279E-4</v>
      </c>
      <c r="I11" s="67">
        <v>3.8364685284483741E-5</v>
      </c>
      <c r="J11" s="67">
        <v>7.1426487184901881E-6</v>
      </c>
      <c r="K11" s="67">
        <v>0</v>
      </c>
      <c r="L11" s="67">
        <v>1.9014902322487044E-5</v>
      </c>
      <c r="M11" s="67">
        <v>0</v>
      </c>
      <c r="N11" s="67">
        <v>2.7531351129251791E-5</v>
      </c>
      <c r="O11" s="67">
        <v>1.7158664056028477E-7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v>1</v>
      </c>
      <c r="D12" s="49">
        <v>1</v>
      </c>
      <c r="E12" s="49">
        <v>1</v>
      </c>
      <c r="F12" s="49">
        <v>1</v>
      </c>
      <c r="G12" s="49">
        <v>1</v>
      </c>
      <c r="H12" s="49">
        <v>0.99999999999999989</v>
      </c>
      <c r="I12" s="49">
        <v>1</v>
      </c>
      <c r="J12" s="49">
        <v>1</v>
      </c>
      <c r="K12" s="49">
        <v>1</v>
      </c>
      <c r="L12" s="49">
        <v>0.99999999999999989</v>
      </c>
      <c r="M12" s="49">
        <v>1</v>
      </c>
      <c r="N12" s="49">
        <v>1</v>
      </c>
      <c r="O12" s="49">
        <v>0.99999999999999989</v>
      </c>
      <c r="P12" s="49">
        <v>0.99999999999999989</v>
      </c>
      <c r="Q12" s="49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C3" sqref="C3:M12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29 August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517822432</v>
      </c>
      <c r="D3" s="64">
        <v>506084808</v>
      </c>
      <c r="E3" s="64">
        <v>108300000</v>
      </c>
      <c r="F3" s="64">
        <v>9572499658</v>
      </c>
      <c r="G3" s="64">
        <v>295132777</v>
      </c>
      <c r="H3" s="64">
        <v>3567657180</v>
      </c>
      <c r="I3" s="64">
        <v>60400000</v>
      </c>
      <c r="J3" s="64">
        <v>7838736529</v>
      </c>
      <c r="K3" s="64">
        <v>4652065027</v>
      </c>
      <c r="L3" s="64">
        <v>69770000</v>
      </c>
      <c r="M3" s="20">
        <v>27188468411</v>
      </c>
    </row>
    <row r="4" spans="1:13" x14ac:dyDescent="0.35">
      <c r="B4" s="18" t="s">
        <v>71</v>
      </c>
      <c r="C4" s="64">
        <v>2355239311</v>
      </c>
      <c r="D4" s="64">
        <v>5514429115</v>
      </c>
      <c r="E4" s="64">
        <v>99421393</v>
      </c>
      <c r="F4" s="64">
        <v>2677300672</v>
      </c>
      <c r="G4" s="64">
        <v>4288159042.9699998</v>
      </c>
      <c r="H4" s="64">
        <v>6124800750.8899994</v>
      </c>
      <c r="I4" s="64">
        <v>209853663</v>
      </c>
      <c r="J4" s="64">
        <v>12557974133.99</v>
      </c>
      <c r="K4" s="64">
        <v>13829105534.26</v>
      </c>
      <c r="L4" s="64">
        <v>67400573</v>
      </c>
      <c r="M4" s="20">
        <v>47723684189.110001</v>
      </c>
    </row>
    <row r="5" spans="1:13" x14ac:dyDescent="0.35">
      <c r="B5" s="18" t="s">
        <v>54</v>
      </c>
      <c r="C5" s="64">
        <v>1504559656</v>
      </c>
      <c r="D5" s="64">
        <v>7009757308</v>
      </c>
      <c r="E5" s="64">
        <v>1484593383</v>
      </c>
      <c r="F5" s="64">
        <v>3056159261</v>
      </c>
      <c r="G5" s="64">
        <v>1420420322.8499999</v>
      </c>
      <c r="H5" s="64">
        <v>5376733086</v>
      </c>
      <c r="I5" s="64">
        <v>1182824441</v>
      </c>
      <c r="J5" s="64">
        <v>6381071773</v>
      </c>
      <c r="K5" s="64">
        <v>6220737667</v>
      </c>
      <c r="L5" s="64">
        <v>327703508</v>
      </c>
      <c r="M5" s="20">
        <v>33964560405.849998</v>
      </c>
    </row>
    <row r="6" spans="1:13" x14ac:dyDescent="0.35">
      <c r="B6" s="18" t="s">
        <v>55</v>
      </c>
      <c r="C6" s="64">
        <v>161337374</v>
      </c>
      <c r="D6" s="64">
        <v>2477223361</v>
      </c>
      <c r="E6" s="64">
        <v>455069411</v>
      </c>
      <c r="F6" s="64">
        <v>1911743290</v>
      </c>
      <c r="G6" s="64">
        <v>448154965</v>
      </c>
      <c r="H6" s="64">
        <v>1509371530.4300001</v>
      </c>
      <c r="I6" s="64">
        <v>484844399</v>
      </c>
      <c r="J6" s="64">
        <v>1498586274</v>
      </c>
      <c r="K6" s="64">
        <v>2732543093.8099999</v>
      </c>
      <c r="L6" s="64">
        <v>789324611</v>
      </c>
      <c r="M6" s="20">
        <v>12468198309.24</v>
      </c>
    </row>
    <row r="7" spans="1:13" x14ac:dyDescent="0.35">
      <c r="B7" s="18" t="s">
        <v>56</v>
      </c>
      <c r="C7" s="64">
        <v>2677195477.75</v>
      </c>
      <c r="D7" s="64">
        <v>6074163608</v>
      </c>
      <c r="E7" s="64">
        <v>797769880</v>
      </c>
      <c r="F7" s="64">
        <v>8265892265</v>
      </c>
      <c r="G7" s="64">
        <v>2995593541.9300003</v>
      </c>
      <c r="H7" s="64">
        <v>11975103195</v>
      </c>
      <c r="I7" s="64">
        <v>1443063850</v>
      </c>
      <c r="J7" s="64">
        <v>16178191274</v>
      </c>
      <c r="K7" s="64">
        <v>20688267690.52</v>
      </c>
      <c r="L7" s="64">
        <v>2223954826</v>
      </c>
      <c r="M7" s="20">
        <v>73319195608.199997</v>
      </c>
    </row>
    <row r="8" spans="1:13" x14ac:dyDescent="0.35">
      <c r="B8" s="18" t="s">
        <v>57</v>
      </c>
      <c r="C8" s="64">
        <v>19086033590</v>
      </c>
      <c r="D8" s="64">
        <v>34379740198</v>
      </c>
      <c r="E8" s="64">
        <v>1529916967</v>
      </c>
      <c r="F8" s="64">
        <v>45460357243</v>
      </c>
      <c r="G8" s="64">
        <v>23708099176</v>
      </c>
      <c r="H8" s="64">
        <v>60377761704</v>
      </c>
      <c r="I8" s="64">
        <v>7820593901</v>
      </c>
      <c r="J8" s="64">
        <v>56117251695</v>
      </c>
      <c r="K8" s="64">
        <v>63795106274</v>
      </c>
      <c r="L8" s="64">
        <v>5026419229</v>
      </c>
      <c r="M8" s="20">
        <v>317301279977</v>
      </c>
    </row>
    <row r="9" spans="1:13" x14ac:dyDescent="0.35">
      <c r="B9" s="18" t="s">
        <v>5</v>
      </c>
      <c r="C9" s="64">
        <v>5122374684.0200005</v>
      </c>
      <c r="D9" s="64">
        <v>23557895914</v>
      </c>
      <c r="E9" s="64">
        <v>5785103978</v>
      </c>
      <c r="F9" s="64">
        <v>22735499807</v>
      </c>
      <c r="G9" s="64">
        <v>4327741495.25</v>
      </c>
      <c r="H9" s="64">
        <v>8372471507.6800003</v>
      </c>
      <c r="I9" s="64">
        <v>2101353511</v>
      </c>
      <c r="J9" s="64">
        <v>8786396413.0100002</v>
      </c>
      <c r="K9" s="64">
        <v>6876707265.4099998</v>
      </c>
      <c r="L9" s="64">
        <v>1050531084</v>
      </c>
      <c r="M9" s="20">
        <v>88716075659.37001</v>
      </c>
    </row>
    <row r="10" spans="1:13" x14ac:dyDescent="0.35">
      <c r="B10" s="18" t="s">
        <v>58</v>
      </c>
      <c r="C10" s="64">
        <v>482955037.23000002</v>
      </c>
      <c r="D10" s="64">
        <v>1326979219</v>
      </c>
      <c r="E10" s="64">
        <v>219824988</v>
      </c>
      <c r="F10" s="64">
        <v>856890876</v>
      </c>
      <c r="G10" s="64">
        <v>457883678</v>
      </c>
      <c r="H10" s="64">
        <v>1062854883</v>
      </c>
      <c r="I10" s="64">
        <v>35013651</v>
      </c>
      <c r="J10" s="64">
        <v>3142505122</v>
      </c>
      <c r="K10" s="64">
        <v>3159793351</v>
      </c>
      <c r="L10" s="64">
        <v>166823000</v>
      </c>
      <c r="M10" s="20">
        <v>10911523805.23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v>300000</v>
      </c>
    </row>
    <row r="12" spans="1:13" x14ac:dyDescent="0.35">
      <c r="A12" s="17"/>
      <c r="B12" s="18"/>
      <c r="C12" s="33">
        <v>31907817562</v>
      </c>
      <c r="D12" s="33">
        <v>80846273531</v>
      </c>
      <c r="E12" s="33">
        <v>10480000000</v>
      </c>
      <c r="F12" s="33">
        <v>94536343072</v>
      </c>
      <c r="G12" s="33">
        <v>37941184999</v>
      </c>
      <c r="H12" s="33">
        <v>98366753837</v>
      </c>
      <c r="I12" s="33">
        <v>13337947416</v>
      </c>
      <c r="J12" s="33">
        <v>112500713213.99998</v>
      </c>
      <c r="K12" s="33">
        <v>121954325903</v>
      </c>
      <c r="L12" s="33">
        <v>9721926831</v>
      </c>
      <c r="M12" s="33">
        <v>611593286365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G21" sqref="G2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29 August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1.6228701038352764E-2</v>
      </c>
      <c r="D3" s="68">
        <v>6.2598408794431936E-3</v>
      </c>
      <c r="E3" s="68">
        <v>1.0333969465648855E-2</v>
      </c>
      <c r="F3" s="68">
        <v>0.10125735084452622</v>
      </c>
      <c r="G3" s="68">
        <v>7.7786915987937298E-3</v>
      </c>
      <c r="H3" s="68">
        <v>3.6268932752541942E-2</v>
      </c>
      <c r="I3" s="68">
        <v>4.5284329077160011E-3</v>
      </c>
      <c r="J3" s="68">
        <v>6.9677216304300904E-2</v>
      </c>
      <c r="K3" s="68">
        <v>3.8145961552033487E-2</v>
      </c>
      <c r="L3" s="68">
        <v>7.1765609032899335E-3</v>
      </c>
      <c r="M3" s="68">
        <v>4.4455145301863029E-2</v>
      </c>
    </row>
    <row r="4" spans="1:13" x14ac:dyDescent="0.35">
      <c r="B4" s="18" t="s">
        <v>71</v>
      </c>
      <c r="C4" s="68">
        <v>7.3813864154874911E-2</v>
      </c>
      <c r="D4" s="68">
        <v>6.8208822425012902E-2</v>
      </c>
      <c r="E4" s="68">
        <v>9.4867741412213748E-3</v>
      </c>
      <c r="F4" s="68">
        <v>2.8320332530325783E-2</v>
      </c>
      <c r="G4" s="68">
        <v>0.11302122068889048</v>
      </c>
      <c r="H4" s="68">
        <v>6.226494737275956E-2</v>
      </c>
      <c r="I4" s="68">
        <v>1.5733580022085161E-2</v>
      </c>
      <c r="J4" s="68">
        <v>0.11162572907517569</v>
      </c>
      <c r="K4" s="68">
        <v>0.11339577691782242</v>
      </c>
      <c r="L4" s="68">
        <v>6.9328410068960743E-3</v>
      </c>
      <c r="M4" s="68">
        <v>7.8031733266326953E-2</v>
      </c>
    </row>
    <row r="5" spans="1:13" x14ac:dyDescent="0.35">
      <c r="B5" s="18" t="s">
        <v>54</v>
      </c>
      <c r="C5" s="68">
        <v>4.7153323886113298E-2</v>
      </c>
      <c r="D5" s="68">
        <v>8.6704766983627918E-2</v>
      </c>
      <c r="E5" s="68">
        <v>0.14165967395038168</v>
      </c>
      <c r="F5" s="68">
        <v>3.2327876895686489E-2</v>
      </c>
      <c r="G5" s="68">
        <v>3.7437426450635039E-2</v>
      </c>
      <c r="H5" s="68">
        <v>5.4660064262256641E-2</v>
      </c>
      <c r="I5" s="68">
        <v>8.8681144415152041E-2</v>
      </c>
      <c r="J5" s="68">
        <v>5.6720278393807701E-2</v>
      </c>
      <c r="K5" s="68">
        <v>5.1008749553893222E-2</v>
      </c>
      <c r="L5" s="68">
        <v>3.3707670680575605E-2</v>
      </c>
      <c r="M5" s="68">
        <v>5.5534554029718186E-2</v>
      </c>
    </row>
    <row r="6" spans="1:13" x14ac:dyDescent="0.35">
      <c r="B6" s="18" t="s">
        <v>55</v>
      </c>
      <c r="C6" s="68">
        <v>5.0563587962888954E-3</v>
      </c>
      <c r="D6" s="68">
        <v>3.0641157010782002E-2</v>
      </c>
      <c r="E6" s="68">
        <v>4.3422653721374042E-2</v>
      </c>
      <c r="F6" s="68">
        <v>2.0222310572601626E-2</v>
      </c>
      <c r="G6" s="68">
        <v>1.1811833631759572E-2</v>
      </c>
      <c r="H6" s="68">
        <v>1.5344325918603812E-2</v>
      </c>
      <c r="I6" s="68">
        <v>3.635075052240707E-2</v>
      </c>
      <c r="J6" s="68">
        <v>1.3320682431136007E-2</v>
      </c>
      <c r="K6" s="68">
        <v>2.2406282627345335E-2</v>
      </c>
      <c r="L6" s="68">
        <v>8.1190141082229259E-2</v>
      </c>
      <c r="M6" s="68">
        <v>2.0386421151456127E-2</v>
      </c>
    </row>
    <row r="7" spans="1:13" x14ac:dyDescent="0.35">
      <c r="B7" s="18" t="s">
        <v>56</v>
      </c>
      <c r="C7" s="68">
        <v>8.3904061208446748E-2</v>
      </c>
      <c r="D7" s="68">
        <v>7.5132264515208602E-2</v>
      </c>
      <c r="E7" s="68">
        <v>7.612308015267176E-2</v>
      </c>
      <c r="F7" s="68">
        <v>8.7436132987549542E-2</v>
      </c>
      <c r="G7" s="68">
        <v>7.8953610489734413E-2</v>
      </c>
      <c r="H7" s="68">
        <v>0.12173933496721373</v>
      </c>
      <c r="I7" s="68">
        <v>0.1081923481171415</v>
      </c>
      <c r="J7" s="68">
        <v>0.14380523297861839</v>
      </c>
      <c r="K7" s="68">
        <v>0.16963947393694775</v>
      </c>
      <c r="L7" s="68">
        <v>0.22875658957939754</v>
      </c>
      <c r="M7" s="68">
        <v>0.11988227673977926</v>
      </c>
    </row>
    <row r="8" spans="1:13" x14ac:dyDescent="0.35">
      <c r="B8" s="18" t="s">
        <v>57</v>
      </c>
      <c r="C8" s="68">
        <v>0.59816167473422388</v>
      </c>
      <c r="D8" s="68">
        <v>0.42524829774395606</v>
      </c>
      <c r="E8" s="68">
        <v>0.14598444341603053</v>
      </c>
      <c r="F8" s="68">
        <v>0.48087704438045431</v>
      </c>
      <c r="G8" s="68">
        <v>0.62486448898801827</v>
      </c>
      <c r="H8" s="68">
        <v>0.61380252319853734</v>
      </c>
      <c r="I8" s="68">
        <v>0.58634163541674589</v>
      </c>
      <c r="J8" s="68">
        <v>0.49881685272744186</v>
      </c>
      <c r="K8" s="68">
        <v>0.52310654666519441</v>
      </c>
      <c r="L8" s="68">
        <v>0.51701882933045906</v>
      </c>
      <c r="M8" s="68">
        <v>0.5188109272141912</v>
      </c>
    </row>
    <row r="9" spans="1:13" x14ac:dyDescent="0.35">
      <c r="B9" s="18" t="s">
        <v>5</v>
      </c>
      <c r="C9" s="68">
        <v>0.16053666704301311</v>
      </c>
      <c r="D9" s="68">
        <v>0.29139124025261193</v>
      </c>
      <c r="E9" s="68">
        <v>0.55201373835877865</v>
      </c>
      <c r="F9" s="68">
        <v>0.24049480938441181</v>
      </c>
      <c r="G9" s="68">
        <v>0.11406447888657312</v>
      </c>
      <c r="H9" s="68">
        <v>8.5114850100204795E-2</v>
      </c>
      <c r="I9" s="68">
        <v>0.15754699321120791</v>
      </c>
      <c r="J9" s="68">
        <v>7.810080631485801E-2</v>
      </c>
      <c r="K9" s="68">
        <v>5.6387563249536497E-2</v>
      </c>
      <c r="L9" s="68">
        <v>0.10805790891680081</v>
      </c>
      <c r="M9" s="68">
        <v>0.14505730791561386</v>
      </c>
    </row>
    <row r="10" spans="1:13" x14ac:dyDescent="0.35">
      <c r="B10" s="18" t="s">
        <v>58</v>
      </c>
      <c r="C10" s="68">
        <v>1.5135947054090155E-2</v>
      </c>
      <c r="D10" s="68">
        <v>1.6413610189357435E-2</v>
      </c>
      <c r="E10" s="68">
        <v>2.0975666793893129E-2</v>
      </c>
      <c r="F10" s="68">
        <v>9.0641424044442011E-3</v>
      </c>
      <c r="G10" s="68">
        <v>1.2068249265595375E-2</v>
      </c>
      <c r="H10" s="68">
        <v>1.0805021427882214E-2</v>
      </c>
      <c r="I10" s="68">
        <v>2.6251153875444249E-3</v>
      </c>
      <c r="J10" s="68">
        <v>2.79332017746616E-2</v>
      </c>
      <c r="K10" s="68">
        <v>2.5909645497226852E-2</v>
      </c>
      <c r="L10" s="68">
        <v>1.7159458500351679E-2</v>
      </c>
      <c r="M10" s="68">
        <v>1.7841143858989293E-2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4.9052206210935978E-7</v>
      </c>
    </row>
    <row r="12" spans="1:13" x14ac:dyDescent="0.35">
      <c r="B12" s="23"/>
      <c r="C12" s="21">
        <v>1</v>
      </c>
      <c r="D12" s="21">
        <v>0.99999999999999989</v>
      </c>
      <c r="E12" s="21">
        <v>1</v>
      </c>
      <c r="F12" s="21">
        <v>0.99999999999999989</v>
      </c>
      <c r="G12" s="21">
        <v>1</v>
      </c>
      <c r="H12" s="21">
        <v>0.99999999999999989</v>
      </c>
      <c r="I12" s="21">
        <v>1</v>
      </c>
      <c r="J12" s="21">
        <v>1.0000000000000002</v>
      </c>
      <c r="K12" s="21">
        <v>1</v>
      </c>
      <c r="L12" s="21">
        <v>1</v>
      </c>
      <c r="M12" s="21">
        <v>0.99999999999999989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topLeftCell="C1" workbookViewId="0">
      <selection activeCell="E15" sqref="E15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5.54296875" style="15" customWidth="1"/>
    <col min="7" max="7" width="15.6328125" style="15" bestFit="1" customWidth="1"/>
    <col min="8" max="8" width="14.6328125" style="15" customWidth="1"/>
    <col min="9" max="9" width="11" style="15" bestFit="1" customWidth="1"/>
    <col min="10" max="12" width="11.26953125" style="15" bestFit="1" customWidth="1"/>
    <col min="13" max="13" width="11.7265625" style="28" customWidth="1"/>
    <col min="14" max="16384" width="9.1796875" style="28"/>
  </cols>
  <sheetData>
    <row r="1" spans="1:15" x14ac:dyDescent="0.35">
      <c r="A1" s="39" t="str">
        <f>'Fixed rate bond (Values)'!A1</f>
        <v>29 August 2025</v>
      </c>
    </row>
    <row r="2" spans="1:15" x14ac:dyDescent="0.35">
      <c r="A2" s="17"/>
      <c r="B2" s="18" t="s">
        <v>40</v>
      </c>
      <c r="C2" s="18" t="s">
        <v>75</v>
      </c>
      <c r="D2" s="53" t="s">
        <v>79</v>
      </c>
      <c r="E2" s="53" t="s">
        <v>92</v>
      </c>
      <c r="F2" s="53" t="s">
        <v>94</v>
      </c>
      <c r="G2" s="53" t="s">
        <v>52</v>
      </c>
      <c r="M2" s="15"/>
      <c r="N2" s="15"/>
    </row>
    <row r="3" spans="1:15" x14ac:dyDescent="0.35">
      <c r="B3" s="18" t="s">
        <v>53</v>
      </c>
      <c r="C3" s="64">
        <v>214814011</v>
      </c>
      <c r="D3" s="64">
        <v>639070000</v>
      </c>
      <c r="E3" s="64">
        <v>172330000</v>
      </c>
      <c r="F3" s="64">
        <v>35000000</v>
      </c>
      <c r="G3" s="54">
        <v>1061214011</v>
      </c>
      <c r="M3" s="15"/>
      <c r="N3" s="15"/>
      <c r="O3" s="50"/>
    </row>
    <row r="4" spans="1:15" x14ac:dyDescent="0.35">
      <c r="B4" s="18" t="s">
        <v>71</v>
      </c>
      <c r="C4" s="64">
        <v>50030164877</v>
      </c>
      <c r="D4" s="64">
        <v>55218369227</v>
      </c>
      <c r="E4" s="64">
        <v>21763210000</v>
      </c>
      <c r="F4" s="64">
        <v>1030000000</v>
      </c>
      <c r="G4" s="54">
        <v>128041744104</v>
      </c>
      <c r="M4" s="15"/>
      <c r="N4" s="15"/>
      <c r="O4" s="50"/>
    </row>
    <row r="5" spans="1:15" x14ac:dyDescent="0.35">
      <c r="B5" s="18" t="s">
        <v>54</v>
      </c>
      <c r="C5" s="64">
        <v>1542740000</v>
      </c>
      <c r="D5" s="64">
        <v>7478901000</v>
      </c>
      <c r="E5" s="64">
        <v>2405986000</v>
      </c>
      <c r="F5" s="64">
        <v>1245300000</v>
      </c>
      <c r="G5" s="54">
        <v>12672927000</v>
      </c>
      <c r="M5" s="15"/>
      <c r="N5" s="15"/>
      <c r="O5" s="50"/>
    </row>
    <row r="6" spans="1:15" x14ac:dyDescent="0.35">
      <c r="B6" s="18" t="s">
        <v>55</v>
      </c>
      <c r="C6" s="64">
        <v>1397750000</v>
      </c>
      <c r="D6" s="64">
        <v>647927000</v>
      </c>
      <c r="E6" s="64">
        <v>709184000</v>
      </c>
      <c r="F6" s="64">
        <v>83000000</v>
      </c>
      <c r="G6" s="54">
        <v>2837861000</v>
      </c>
      <c r="M6" s="15"/>
      <c r="N6" s="15"/>
      <c r="O6" s="50"/>
    </row>
    <row r="7" spans="1:15" x14ac:dyDescent="0.35">
      <c r="B7" s="18" t="s">
        <v>56</v>
      </c>
      <c r="C7" s="64">
        <v>113800000</v>
      </c>
      <c r="D7" s="64">
        <v>856186000</v>
      </c>
      <c r="E7" s="64">
        <v>331830000</v>
      </c>
      <c r="F7" s="64">
        <v>57900000</v>
      </c>
      <c r="G7" s="54">
        <v>1359716000</v>
      </c>
      <c r="M7" s="15"/>
      <c r="N7" s="15"/>
      <c r="O7" s="50"/>
    </row>
    <row r="8" spans="1:15" x14ac:dyDescent="0.35">
      <c r="B8" s="18" t="s">
        <v>57</v>
      </c>
      <c r="C8" s="64">
        <v>43000000</v>
      </c>
      <c r="D8" s="64">
        <v>374457000</v>
      </c>
      <c r="E8" s="64">
        <v>73350000</v>
      </c>
      <c r="F8" s="64">
        <v>4500000</v>
      </c>
      <c r="G8" s="54">
        <v>495307000</v>
      </c>
      <c r="M8" s="15"/>
      <c r="N8" s="15"/>
      <c r="O8" s="50"/>
    </row>
    <row r="9" spans="1:15" x14ac:dyDescent="0.35">
      <c r="B9" s="18" t="s">
        <v>5</v>
      </c>
      <c r="C9" s="64">
        <v>17636632509</v>
      </c>
      <c r="D9" s="64">
        <v>46617689773</v>
      </c>
      <c r="E9" s="64">
        <v>24885610000</v>
      </c>
      <c r="F9" s="64">
        <v>5514100000</v>
      </c>
      <c r="G9" s="54">
        <v>94654032282</v>
      </c>
      <c r="M9" s="15"/>
      <c r="N9" s="15"/>
      <c r="O9" s="50"/>
    </row>
    <row r="10" spans="1:15" x14ac:dyDescent="0.35">
      <c r="B10" s="18" t="s">
        <v>58</v>
      </c>
      <c r="C10" s="64">
        <v>96098603</v>
      </c>
      <c r="D10" s="64">
        <v>607400000</v>
      </c>
      <c r="E10" s="64">
        <v>518500000</v>
      </c>
      <c r="F10" s="64">
        <v>110200000</v>
      </c>
      <c r="G10" s="54">
        <v>1332198603</v>
      </c>
      <c r="M10" s="15"/>
      <c r="N10" s="15"/>
      <c r="O10" s="50"/>
    </row>
    <row r="11" spans="1:15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4">
        <v>0</v>
      </c>
      <c r="M11" s="15"/>
      <c r="N11" s="15"/>
      <c r="O11" s="50"/>
    </row>
    <row r="12" spans="1:15" x14ac:dyDescent="0.35">
      <c r="B12" s="19"/>
      <c r="C12" s="20">
        <v>71075000000</v>
      </c>
      <c r="D12" s="20">
        <v>112440000000</v>
      </c>
      <c r="E12" s="20">
        <v>50860000000</v>
      </c>
      <c r="F12" s="20">
        <v>8080000000</v>
      </c>
      <c r="G12" s="54">
        <v>242455000000</v>
      </c>
      <c r="H12" s="26"/>
      <c r="M12" s="15"/>
      <c r="N12" s="15"/>
    </row>
    <row r="13" spans="1:15" x14ac:dyDescent="0.35">
      <c r="C13" s="30"/>
      <c r="D13" s="30"/>
      <c r="E13" s="30"/>
      <c r="F13" s="30"/>
      <c r="M13" s="15"/>
      <c r="N13" s="15"/>
    </row>
    <row r="17" spans="2:12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2:12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2:12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2:12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opLeftCell="B1" workbookViewId="0">
      <selection activeCell="E17" sqref="E17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3" width="13.26953125" style="15" customWidth="1"/>
    <col min="4" max="4" width="13.26953125" style="15" bestFit="1" customWidth="1"/>
    <col min="5" max="6" width="13.26953125" style="15" customWidth="1"/>
    <col min="7" max="16384" width="8.7265625" style="15"/>
  </cols>
  <sheetData>
    <row r="1" spans="1:7" ht="14" x14ac:dyDescent="0.3">
      <c r="A1" s="39" t="str">
        <f>'Fixed rate bond (Values)'!A1</f>
        <v>29 August 2025</v>
      </c>
    </row>
    <row r="3" spans="1:7" ht="13" x14ac:dyDescent="0.3">
      <c r="B3" s="18" t="s">
        <v>40</v>
      </c>
      <c r="C3" s="22" t="s">
        <v>75</v>
      </c>
      <c r="D3" s="72" t="s">
        <v>79</v>
      </c>
      <c r="E3" s="72" t="s">
        <v>92</v>
      </c>
      <c r="F3" s="72" t="s">
        <v>94</v>
      </c>
      <c r="G3" s="72" t="s">
        <v>70</v>
      </c>
    </row>
    <row r="4" spans="1:7" ht="13" x14ac:dyDescent="0.3">
      <c r="B4" s="18" t="s">
        <v>53</v>
      </c>
      <c r="C4" s="67">
        <v>3.0223568202602884E-3</v>
      </c>
      <c r="D4" s="70">
        <v>5.6836535040910704E-3</v>
      </c>
      <c r="E4" s="70">
        <v>3.3883208808493906E-3</v>
      </c>
      <c r="F4" s="70">
        <v>4.3316831683168321E-3</v>
      </c>
      <c r="G4" s="69">
        <v>4.3769524695304284E-3</v>
      </c>
    </row>
    <row r="5" spans="1:7" ht="13" x14ac:dyDescent="0.3">
      <c r="B5" s="18" t="s">
        <v>71</v>
      </c>
      <c r="C5" s="67">
        <v>0.70390664617657406</v>
      </c>
      <c r="D5" s="70">
        <v>0.49109186434542867</v>
      </c>
      <c r="E5" s="70">
        <v>0.42790424695241841</v>
      </c>
      <c r="F5" s="70">
        <v>0.12747524752475248</v>
      </c>
      <c r="G5" s="69">
        <v>0.52810519108288134</v>
      </c>
    </row>
    <row r="6" spans="1:7" ht="13" x14ac:dyDescent="0.3">
      <c r="B6" s="18" t="s">
        <v>54</v>
      </c>
      <c r="C6" s="67">
        <v>2.1705803728455857E-2</v>
      </c>
      <c r="D6" s="70">
        <v>6.6514594450373526E-2</v>
      </c>
      <c r="E6" s="70">
        <v>4.7306055839559574E-2</v>
      </c>
      <c r="F6" s="70">
        <v>0.15412128712871287</v>
      </c>
      <c r="G6" s="69">
        <v>5.2269192221236931E-2</v>
      </c>
    </row>
    <row r="7" spans="1:7" ht="13" x14ac:dyDescent="0.3">
      <c r="B7" s="18" t="s">
        <v>55</v>
      </c>
      <c r="C7" s="67">
        <v>1.966584593739008E-2</v>
      </c>
      <c r="D7" s="70">
        <v>5.7624244041266457E-3</v>
      </c>
      <c r="E7" s="70">
        <v>1.3943845851356666E-2</v>
      </c>
      <c r="F7" s="70">
        <v>1.0272277227722773E-2</v>
      </c>
      <c r="G7" s="69">
        <v>1.1704691592254233E-2</v>
      </c>
    </row>
    <row r="8" spans="1:7" ht="13" x14ac:dyDescent="0.3">
      <c r="B8" s="18" t="s">
        <v>56</v>
      </c>
      <c r="C8" s="67">
        <v>1.6011255715793176E-3</v>
      </c>
      <c r="D8" s="70">
        <v>7.6146033440056922E-3</v>
      </c>
      <c r="E8" s="70">
        <v>6.524380652772316E-3</v>
      </c>
      <c r="F8" s="70">
        <v>7.1658415841584161E-3</v>
      </c>
      <c r="G8" s="69">
        <v>5.6081169701594109E-3</v>
      </c>
    </row>
    <row r="9" spans="1:7" ht="13" x14ac:dyDescent="0.3">
      <c r="B9" s="18" t="s">
        <v>57</v>
      </c>
      <c r="C9" s="67">
        <v>6.04994723883222E-4</v>
      </c>
      <c r="D9" s="70">
        <v>3.3302828175026679E-3</v>
      </c>
      <c r="E9" s="70">
        <v>1.4421942587495085E-3</v>
      </c>
      <c r="F9" s="70">
        <v>5.5693069306930688E-4</v>
      </c>
      <c r="G9" s="69">
        <v>2.042882184322864E-3</v>
      </c>
    </row>
    <row r="10" spans="1:7" ht="13" x14ac:dyDescent="0.3">
      <c r="B10" s="18" t="s">
        <v>5</v>
      </c>
      <c r="C10" s="67">
        <v>0.2481411538374956</v>
      </c>
      <c r="D10" s="70">
        <v>0.41460058496086805</v>
      </c>
      <c r="E10" s="70">
        <v>0.48929630357845066</v>
      </c>
      <c r="F10" s="70">
        <v>0.68243811881188121</v>
      </c>
      <c r="G10" s="69">
        <v>0.39039835137241963</v>
      </c>
    </row>
    <row r="11" spans="1:7" ht="13" x14ac:dyDescent="0.3">
      <c r="B11" s="18" t="s">
        <v>58</v>
      </c>
      <c r="C11" s="67">
        <v>1.3520732043615898E-3</v>
      </c>
      <c r="D11" s="70">
        <v>5.4019921736036995E-3</v>
      </c>
      <c r="E11" s="70">
        <v>1.0194651985843493E-2</v>
      </c>
      <c r="F11" s="70">
        <v>1.3638613861386139E-2</v>
      </c>
      <c r="G11" s="69">
        <v>5.4946221071951497E-3</v>
      </c>
    </row>
    <row r="12" spans="1:7" ht="13" x14ac:dyDescent="0.3">
      <c r="B12" s="18" t="s">
        <v>59</v>
      </c>
      <c r="C12" s="67">
        <v>0</v>
      </c>
      <c r="D12" s="70">
        <v>0</v>
      </c>
      <c r="E12" s="70">
        <v>0</v>
      </c>
      <c r="F12" s="70">
        <v>0</v>
      </c>
      <c r="G12" s="69">
        <v>0</v>
      </c>
    </row>
    <row r="13" spans="1:7" ht="13" x14ac:dyDescent="0.3">
      <c r="B13" s="23"/>
      <c r="C13" s="21">
        <v>1</v>
      </c>
      <c r="D13" s="21">
        <v>1</v>
      </c>
      <c r="E13" s="21">
        <v>1</v>
      </c>
      <c r="F13" s="21">
        <v>1</v>
      </c>
      <c r="G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G12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29 August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v>15601785000</v>
      </c>
    </row>
    <row r="5" spans="1:7" x14ac:dyDescent="0.35">
      <c r="B5" s="18" t="s">
        <v>54</v>
      </c>
      <c r="C5" s="64">
        <v>28500000</v>
      </c>
      <c r="D5" s="64">
        <v>30345000</v>
      </c>
      <c r="E5" s="64">
        <v>30700000</v>
      </c>
      <c r="F5" s="64">
        <v>0</v>
      </c>
      <c r="G5" s="53">
        <v>89545000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v>19189549</v>
      </c>
    </row>
    <row r="8" spans="1:7" x14ac:dyDescent="0.35">
      <c r="B8" s="18" t="s">
        <v>57</v>
      </c>
      <c r="C8" s="64">
        <v>35000000</v>
      </c>
      <c r="D8" s="64">
        <v>0</v>
      </c>
      <c r="E8" s="64">
        <v>97000000</v>
      </c>
      <c r="F8" s="64">
        <v>111000000</v>
      </c>
      <c r="G8" s="53">
        <v>243000000</v>
      </c>
    </row>
    <row r="9" spans="1:7" x14ac:dyDescent="0.35">
      <c r="B9" s="18" t="s">
        <v>5</v>
      </c>
      <c r="C9" s="64">
        <v>1562715000</v>
      </c>
      <c r="D9" s="64">
        <v>917016618</v>
      </c>
      <c r="E9" s="64">
        <v>1096617910</v>
      </c>
      <c r="F9" s="64">
        <v>810000000</v>
      </c>
      <c r="G9" s="53">
        <v>4386349528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C3" sqref="C3:G11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29 August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3.4226257613354386E-3</v>
      </c>
      <c r="E5" s="67">
        <v>1.2384025816861637E-2</v>
      </c>
      <c r="F5" s="67">
        <v>0</v>
      </c>
      <c r="G5" s="69">
        <v>4.3924752280977142E-3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0</v>
      </c>
      <c r="E8" s="67">
        <v>3.9128680919725697E-2</v>
      </c>
      <c r="F8" s="67">
        <v>7.1566731141199227E-2</v>
      </c>
      <c r="G8" s="69">
        <v>1.1919945060335524E-2</v>
      </c>
    </row>
    <row r="9" spans="1:7" x14ac:dyDescent="0.35">
      <c r="B9" s="18" t="s">
        <v>5</v>
      </c>
      <c r="C9" s="67">
        <v>0.20864018691588784</v>
      </c>
      <c r="D9" s="67">
        <v>0.10343070358673584</v>
      </c>
      <c r="E9" s="67">
        <v>0.44236301331181926</v>
      </c>
      <c r="F9" s="67">
        <v>0.52224371373307543</v>
      </c>
      <c r="G9" s="69">
        <v>0.21516479584028256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Malerato Phokane</cp:lastModifiedBy>
  <dcterms:created xsi:type="dcterms:W3CDTF">2016-03-09T09:54:02Z</dcterms:created>
  <dcterms:modified xsi:type="dcterms:W3CDTF">2025-09-03T06:09:36Z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