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7004\Documents\Investor relations\"/>
    </mc:Choice>
  </mc:AlternateContent>
  <xr:revisionPtr revIDLastSave="0" documentId="13_ncr:1_{D2CDFCB2-F32A-45CF-9632-2F054F80406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oldings" sheetId="1" r:id="rId1"/>
    <sheet name="Fixed rate bond (Values)" sheetId="2" r:id="rId2"/>
    <sheet name="Fixed rate bond % (Values)" sheetId="3" r:id="rId3"/>
    <sheet name="ILB (Values)" sheetId="4" r:id="rId4"/>
    <sheet name="ILB % (Values)" sheetId="5" r:id="rId5"/>
    <sheet name="FRN (Values)" sheetId="6" r:id="rId6"/>
    <sheet name="FRN % (Values)" sheetId="7" r:id="rId7"/>
    <sheet name="Sukuk (Values)" sheetId="8" r:id="rId8"/>
    <sheet name="Sukuk % (Values)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9" l="1"/>
  <c r="E12" i="9"/>
  <c r="F12" i="9"/>
  <c r="G12" i="9"/>
  <c r="C12" i="9"/>
  <c r="G5" i="8"/>
  <c r="G6" i="8"/>
  <c r="G7" i="8"/>
  <c r="G8" i="8"/>
  <c r="G9" i="8"/>
  <c r="G10" i="8"/>
  <c r="G11" i="8"/>
  <c r="G4" i="8"/>
  <c r="D12" i="8"/>
  <c r="E12" i="8"/>
  <c r="F12" i="8"/>
  <c r="C12" i="8"/>
  <c r="E13" i="7"/>
  <c r="D13" i="7"/>
  <c r="C13" i="7"/>
  <c r="E4" i="6"/>
  <c r="E5" i="6"/>
  <c r="E6" i="6"/>
  <c r="E7" i="6"/>
  <c r="E8" i="6"/>
  <c r="E9" i="6"/>
  <c r="E10" i="6"/>
  <c r="E11" i="6"/>
  <c r="E3" i="6"/>
  <c r="D12" i="6"/>
  <c r="C12" i="6"/>
  <c r="D12" i="5"/>
  <c r="E12" i="5"/>
  <c r="F12" i="5"/>
  <c r="G12" i="5"/>
  <c r="H12" i="5"/>
  <c r="I12" i="5"/>
  <c r="J12" i="5"/>
  <c r="K12" i="5"/>
  <c r="L12" i="5"/>
  <c r="M12" i="5"/>
  <c r="N12" i="5"/>
  <c r="C12" i="5"/>
  <c r="N4" i="4"/>
  <c r="N5" i="4"/>
  <c r="N6" i="4"/>
  <c r="N7" i="4"/>
  <c r="N8" i="4"/>
  <c r="N9" i="4"/>
  <c r="N10" i="4"/>
  <c r="N11" i="4"/>
  <c r="N3" i="4"/>
  <c r="D12" i="4"/>
  <c r="E12" i="4"/>
  <c r="F12" i="4"/>
  <c r="G12" i="4"/>
  <c r="H12" i="4"/>
  <c r="I12" i="4"/>
  <c r="J12" i="4"/>
  <c r="K12" i="4"/>
  <c r="L12" i="4"/>
  <c r="M12" i="4"/>
  <c r="C12" i="4"/>
  <c r="D12" i="3"/>
  <c r="E12" i="3"/>
  <c r="F12" i="3"/>
  <c r="G12" i="3"/>
  <c r="H12" i="3"/>
  <c r="I12" i="3"/>
  <c r="J12" i="3"/>
  <c r="K12" i="3"/>
  <c r="L12" i="3"/>
  <c r="M12" i="3"/>
  <c r="N12" i="3"/>
  <c r="O12" i="3"/>
  <c r="C12" i="3"/>
  <c r="O5" i="2"/>
  <c r="O6" i="2"/>
  <c r="O7" i="2"/>
  <c r="O8" i="2"/>
  <c r="O9" i="2"/>
  <c r="O10" i="2"/>
  <c r="O11" i="2"/>
  <c r="O4" i="2"/>
  <c r="O3" i="2"/>
  <c r="E12" i="2"/>
  <c r="F12" i="2"/>
  <c r="G12" i="2"/>
  <c r="H12" i="2"/>
  <c r="I12" i="2"/>
  <c r="J12" i="2"/>
  <c r="K12" i="2"/>
  <c r="L12" i="2"/>
  <c r="M12" i="2"/>
  <c r="N12" i="2"/>
  <c r="D12" i="2"/>
  <c r="C12" i="2"/>
  <c r="A1" i="4"/>
  <c r="A1" i="5"/>
  <c r="A1" i="6"/>
  <c r="A1" i="7"/>
  <c r="A1" i="8" s="1"/>
  <c r="A1" i="9" s="1"/>
  <c r="A1" i="3"/>
  <c r="G12" i="8" l="1"/>
  <c r="N12" i="4"/>
  <c r="O12" i="2"/>
</calcChain>
</file>

<file path=xl/sharedStrings.xml><?xml version="1.0" encoding="utf-8"?>
<sst xmlns="http://schemas.openxmlformats.org/spreadsheetml/2006/main" count="328" uniqueCount="90">
  <si>
    <t>Period</t>
  </si>
  <si>
    <t xml:space="preserve">Non-residents </t>
  </si>
  <si>
    <t xml:space="preserve">Banks </t>
  </si>
  <si>
    <t>Insurers</t>
  </si>
  <si>
    <t>Local pension funds</t>
  </si>
  <si>
    <t>Other financial institutions</t>
  </si>
  <si>
    <t>Other</t>
  </si>
  <si>
    <t>2006:</t>
  </si>
  <si>
    <t>2007:</t>
  </si>
  <si>
    <t>2008:</t>
  </si>
  <si>
    <t>2009:</t>
  </si>
  <si>
    <t>2010:</t>
  </si>
  <si>
    <t>2011:</t>
  </si>
  <si>
    <t xml:space="preserve">January </t>
  </si>
  <si>
    <t xml:space="preserve">March </t>
  </si>
  <si>
    <t>May</t>
  </si>
  <si>
    <t xml:space="preserve">June </t>
  </si>
  <si>
    <t xml:space="preserve">July </t>
  </si>
  <si>
    <t xml:space="preserve">August </t>
  </si>
  <si>
    <t xml:space="preserve">September </t>
  </si>
  <si>
    <t xml:space="preserve">October </t>
  </si>
  <si>
    <t xml:space="preserve">November </t>
  </si>
  <si>
    <t xml:space="preserve">December </t>
  </si>
  <si>
    <t>2012:</t>
  </si>
  <si>
    <t xml:space="preserve">February </t>
  </si>
  <si>
    <t>March</t>
  </si>
  <si>
    <t>April</t>
  </si>
  <si>
    <t>July</t>
  </si>
  <si>
    <t>2013:</t>
  </si>
  <si>
    <t>September</t>
  </si>
  <si>
    <t>October</t>
  </si>
  <si>
    <t>December</t>
  </si>
  <si>
    <t>2014:</t>
  </si>
  <si>
    <t>February</t>
  </si>
  <si>
    <t>June</t>
  </si>
  <si>
    <t>November</t>
  </si>
  <si>
    <t>2015:</t>
  </si>
  <si>
    <t>August</t>
  </si>
  <si>
    <t>2016:</t>
  </si>
  <si>
    <t>January</t>
  </si>
  <si>
    <t xml:space="preserve">Sector code </t>
  </si>
  <si>
    <t>R186 (2026)</t>
  </si>
  <si>
    <t>R2030 (2030)</t>
  </si>
  <si>
    <t>R213 (2031)</t>
  </si>
  <si>
    <t>R2032 (2032)</t>
  </si>
  <si>
    <t>R2035 (2035)</t>
  </si>
  <si>
    <t>R209 (2036)</t>
  </si>
  <si>
    <t>R2037 (2037)</t>
  </si>
  <si>
    <t>R2040 (2040)</t>
  </si>
  <si>
    <t>R214 (2041)</t>
  </si>
  <si>
    <t>R2044 (2044)</t>
  </si>
  <si>
    <t>R2048 (2048)</t>
  </si>
  <si>
    <t>Total</t>
  </si>
  <si>
    <t>Foreign sector</t>
  </si>
  <si>
    <t>Long-term insurers</t>
  </si>
  <si>
    <t>Short-term insurers</t>
  </si>
  <si>
    <t>Private self-administered funds</t>
  </si>
  <si>
    <t xml:space="preserve">Official pension funds </t>
  </si>
  <si>
    <t xml:space="preserve">Other sector  </t>
  </si>
  <si>
    <t>CSDP reporting error</t>
  </si>
  <si>
    <t>I2025 (2025)</t>
  </si>
  <si>
    <t>R210 (2028)</t>
  </si>
  <si>
    <t>I2033 (2033)</t>
  </si>
  <si>
    <t>R202 (2033)</t>
  </si>
  <si>
    <t>I2038 (2038)</t>
  </si>
  <si>
    <t>I2046 (2046)</t>
  </si>
  <si>
    <t>I2050 (2050)</t>
  </si>
  <si>
    <t>I2029 (2029)</t>
  </si>
  <si>
    <t>2017:</t>
  </si>
  <si>
    <t>2018</t>
  </si>
  <si>
    <t>2019</t>
  </si>
  <si>
    <t>TOTAL</t>
  </si>
  <si>
    <t>Monetary institutions</t>
  </si>
  <si>
    <t>2020</t>
  </si>
  <si>
    <t>2021</t>
  </si>
  <si>
    <t>2022</t>
  </si>
  <si>
    <t>RN2027 (2027)</t>
  </si>
  <si>
    <t>2023</t>
  </si>
  <si>
    <t>R2053 (2053)</t>
  </si>
  <si>
    <t>I2031 (2031)</t>
  </si>
  <si>
    <t>RN2030 (2030)</t>
  </si>
  <si>
    <t>I2043 (2043)</t>
  </si>
  <si>
    <t>I2058 (2058)</t>
  </si>
  <si>
    <t>Amount</t>
  </si>
  <si>
    <t>2024</t>
  </si>
  <si>
    <t>RS2029 (2029)</t>
  </si>
  <si>
    <t>RS2031 (2031)</t>
  </si>
  <si>
    <t>RS2034 (2034)</t>
  </si>
  <si>
    <t>RS2036 (2036)</t>
  </si>
  <si>
    <t>28 March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</si>
</sst>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&quot;R&quot;\ #,##0;[Red]&quot;R&quot;\ \-#,##0"/>
    <numFmt numFmtId="165" formatCode="_ * #,##0.00_ ;_ * \-#,##0.00_ ;_ * &quot;-&quot;??_ ;_ @_ "/>
    <numFmt numFmtId="166" formatCode="0.0%"/>
    <numFmt numFmtId="167" formatCode="_ * #,##0_ ;_ * \-#,##0_ ;_ * &quot;-&quot;??_ ;_ @_ "/>
    <numFmt numFmtId="168" formatCode="0.0"/>
    <numFmt numFmtId="169" formatCode="_([$€-2]\ * #,##0.00_);_([$€-2]\ * \(#,##0.00\);_([$€-2]\ * &quot;-&quot;??_)"/>
  </numFmts>
  <fonts count="31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5" tint="-0.24994659260841701"/>
      </bottom>
      <diagonal/>
    </border>
    <border>
      <left/>
      <right/>
      <top/>
      <bottom style="medium">
        <color rgb="FF963634"/>
      </bottom>
      <diagonal/>
    </border>
  </borders>
  <cellStyleXfs count="7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1" applyNumberFormat="0" applyAlignment="0" applyProtection="0"/>
    <xf numFmtId="0" fontId="9" fillId="21" borderId="2" applyNumberFormat="0" applyAlignment="0" applyProtection="0"/>
    <xf numFmtId="0" fontId="2" fillId="0" borderId="0"/>
    <xf numFmtId="165" fontId="4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43" fontId="2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2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7" fillId="22" borderId="0" applyNumberFormat="0" applyBorder="0" applyAlignment="0" applyProtection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" fillId="0" borderId="0"/>
    <xf numFmtId="0" fontId="2" fillId="0" borderId="0"/>
    <xf numFmtId="0" fontId="2" fillId="0" borderId="0"/>
    <xf numFmtId="0" fontId="2" fillId="23" borderId="7" applyNumberFormat="0" applyFont="0" applyAlignment="0" applyProtection="0"/>
    <xf numFmtId="0" fontId="18" fillId="20" borderId="8" applyNumberFormat="0" applyAlignment="0" applyProtection="0"/>
    <xf numFmtId="9" fontId="4" fillId="0" borderId="0"/>
    <xf numFmtId="9" fontId="2" fillId="0" borderId="0"/>
    <xf numFmtId="9" fontId="2" fillId="0" borderId="0"/>
    <xf numFmtId="9" fontId="2" fillId="0" borderId="0"/>
    <xf numFmtId="9" fontId="2" fillId="0" borderId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</cellStyleXfs>
  <cellXfs count="72">
    <xf numFmtId="0" fontId="0" fillId="0" borderId="0" xfId="0"/>
    <xf numFmtId="0" fontId="25" fillId="24" borderId="20" xfId="0" applyFont="1" applyFill="1" applyBorder="1" applyAlignment="1">
      <alignment horizontal="center" vertical="center"/>
    </xf>
    <xf numFmtId="0" fontId="25" fillId="24" borderId="20" xfId="0" applyFont="1" applyFill="1" applyBorder="1" applyAlignment="1">
      <alignment vertical="center"/>
    </xf>
    <xf numFmtId="0" fontId="25" fillId="24" borderId="20" xfId="0" applyFont="1" applyFill="1" applyBorder="1"/>
    <xf numFmtId="0" fontId="25" fillId="0" borderId="20" xfId="0" applyFont="1" applyBorder="1" applyAlignment="1">
      <alignment horizontal="center"/>
    </xf>
    <xf numFmtId="17" fontId="25" fillId="24" borderId="0" xfId="0" applyNumberFormat="1" applyFont="1" applyFill="1" applyAlignment="1">
      <alignment horizontal="left"/>
    </xf>
    <xf numFmtId="166" fontId="2" fillId="24" borderId="0" xfId="0" applyNumberFormat="1" applyFont="1" applyFill="1" applyAlignment="1">
      <alignment horizontal="center"/>
    </xf>
    <xf numFmtId="166" fontId="2" fillId="24" borderId="0" xfId="55" applyNumberFormat="1" applyFill="1" applyAlignment="1">
      <alignment horizontal="center"/>
    </xf>
    <xf numFmtId="17" fontId="25" fillId="25" borderId="0" xfId="0" applyNumberFormat="1" applyFont="1" applyFill="1" applyAlignment="1">
      <alignment horizontal="left"/>
    </xf>
    <xf numFmtId="166" fontId="2" fillId="25" borderId="0" xfId="0" applyNumberFormat="1" applyFont="1" applyFill="1" applyAlignment="1">
      <alignment horizontal="center"/>
    </xf>
    <xf numFmtId="17" fontId="24" fillId="24" borderId="0" xfId="0" applyNumberFormat="1" applyFont="1" applyFill="1" applyAlignment="1">
      <alignment horizontal="center"/>
    </xf>
    <xf numFmtId="17" fontId="26" fillId="24" borderId="0" xfId="0" applyNumberFormat="1" applyFont="1" applyFill="1" applyAlignment="1">
      <alignment horizontal="center"/>
    </xf>
    <xf numFmtId="17" fontId="2" fillId="24" borderId="0" xfId="0" applyNumberFormat="1" applyFont="1" applyFill="1" applyAlignment="1">
      <alignment horizontal="left"/>
    </xf>
    <xf numFmtId="166" fontId="2" fillId="0" borderId="0" xfId="0" applyNumberFormat="1" applyFont="1" applyAlignment="1">
      <alignment horizontal="center"/>
    </xf>
    <xf numFmtId="17" fontId="2" fillId="25" borderId="0" xfId="0" applyNumberFormat="1" applyFont="1" applyFill="1" applyAlignment="1">
      <alignment horizontal="left"/>
    </xf>
    <xf numFmtId="0" fontId="2" fillId="0" borderId="0" xfId="55"/>
    <xf numFmtId="0" fontId="2" fillId="0" borderId="0" xfId="55" applyAlignment="1">
      <alignment horizontal="right"/>
    </xf>
    <xf numFmtId="0" fontId="3" fillId="0" borderId="0" xfId="55" applyFont="1"/>
    <xf numFmtId="0" fontId="3" fillId="0" borderId="10" xfId="55" applyFont="1" applyBorder="1"/>
    <xf numFmtId="0" fontId="3" fillId="0" borderId="10" xfId="55" applyFont="1" applyBorder="1" applyAlignment="1">
      <alignment horizontal="left"/>
    </xf>
    <xf numFmtId="167" fontId="3" fillId="0" borderId="10" xfId="55" applyNumberFormat="1" applyFont="1" applyBorder="1"/>
    <xf numFmtId="9" fontId="3" fillId="0" borderId="10" xfId="55" applyNumberFormat="1" applyFont="1" applyBorder="1"/>
    <xf numFmtId="164" fontId="3" fillId="24" borderId="10" xfId="55" quotePrefix="1" applyNumberFormat="1" applyFont="1" applyFill="1" applyBorder="1" applyAlignment="1">
      <alignment horizontal="left"/>
    </xf>
    <xf numFmtId="0" fontId="2" fillId="0" borderId="10" xfId="55" applyBorder="1"/>
    <xf numFmtId="0" fontId="2" fillId="24" borderId="20" xfId="0" applyFont="1" applyFill="1" applyBorder="1" applyAlignment="1">
      <alignment horizontal="center"/>
    </xf>
    <xf numFmtId="166" fontId="0" fillId="0" borderId="0" xfId="0" applyNumberFormat="1"/>
    <xf numFmtId="167" fontId="2" fillId="0" borderId="0" xfId="55" applyNumberFormat="1"/>
    <xf numFmtId="17" fontId="25" fillId="24" borderId="0" xfId="0" applyNumberFormat="1" applyFont="1" applyFill="1" applyAlignment="1">
      <alignment horizontal="left" wrapText="1"/>
    </xf>
    <xf numFmtId="0" fontId="27" fillId="0" borderId="0" xfId="0" applyFont="1"/>
    <xf numFmtId="0" fontId="2" fillId="0" borderId="0" xfId="55" applyAlignment="1">
      <alignment horizontal="left"/>
    </xf>
    <xf numFmtId="9" fontId="2" fillId="0" borderId="0" xfId="55" applyNumberFormat="1"/>
    <xf numFmtId="167" fontId="3" fillId="0" borderId="10" xfId="31" applyNumberFormat="1" applyFont="1" applyBorder="1" applyAlignment="1">
      <alignment horizontal="center"/>
    </xf>
    <xf numFmtId="0" fontId="4" fillId="0" borderId="0" xfId="54"/>
    <xf numFmtId="167" fontId="3" fillId="0" borderId="11" xfId="55" applyNumberFormat="1" applyFont="1" applyBorder="1"/>
    <xf numFmtId="167" fontId="3" fillId="0" borderId="0" xfId="55" applyNumberFormat="1" applyFont="1"/>
    <xf numFmtId="0" fontId="28" fillId="0" borderId="0" xfId="57" applyFont="1" applyAlignment="1">
      <alignment horizontal="left" wrapText="1" readingOrder="1"/>
    </xf>
    <xf numFmtId="0" fontId="28" fillId="0" borderId="21" xfId="57" applyFont="1" applyBorder="1" applyAlignment="1">
      <alignment horizontal="left" wrapText="1" readingOrder="1"/>
    </xf>
    <xf numFmtId="168" fontId="2" fillId="0" borderId="0" xfId="57" applyNumberFormat="1"/>
    <xf numFmtId="0" fontId="25" fillId="0" borderId="0" xfId="0" applyFont="1"/>
    <xf numFmtId="17" fontId="5" fillId="0" borderId="0" xfId="55" quotePrefix="1" applyNumberFormat="1" applyFont="1"/>
    <xf numFmtId="164" fontId="3" fillId="24" borderId="10" xfId="55" quotePrefix="1" applyNumberFormat="1" applyFont="1" applyFill="1" applyBorder="1" applyAlignment="1">
      <alignment horizontal="center"/>
    </xf>
    <xf numFmtId="0" fontId="3" fillId="0" borderId="10" xfId="55" applyFont="1" applyBorder="1" applyAlignment="1">
      <alignment horizontal="center"/>
    </xf>
    <xf numFmtId="167" fontId="27" fillId="0" borderId="0" xfId="0" applyNumberFormat="1" applyFont="1"/>
    <xf numFmtId="0" fontId="3" fillId="0" borderId="12" xfId="55" applyFont="1" applyBorder="1"/>
    <xf numFmtId="0" fontId="3" fillId="0" borderId="13" xfId="55" applyFont="1" applyBorder="1"/>
    <xf numFmtId="0" fontId="3" fillId="0" borderId="14" xfId="55" applyFont="1" applyBorder="1"/>
    <xf numFmtId="0" fontId="3" fillId="0" borderId="15" xfId="55" applyFont="1" applyBorder="1"/>
    <xf numFmtId="0" fontId="3" fillId="0" borderId="16" xfId="55" applyFont="1" applyBorder="1"/>
    <xf numFmtId="0" fontId="3" fillId="0" borderId="17" xfId="55" applyFont="1" applyBorder="1"/>
    <xf numFmtId="9" fontId="3" fillId="0" borderId="18" xfId="55" applyNumberFormat="1" applyFont="1" applyBorder="1"/>
    <xf numFmtId="167" fontId="2" fillId="0" borderId="10" xfId="36" applyNumberFormat="1" applyBorder="1"/>
    <xf numFmtId="167" fontId="2" fillId="0" borderId="10" xfId="31" applyNumberFormat="1" applyBorder="1"/>
    <xf numFmtId="167" fontId="2" fillId="0" borderId="10" xfId="55" applyNumberFormat="1" applyBorder="1"/>
    <xf numFmtId="9" fontId="2" fillId="0" borderId="10" xfId="67" applyBorder="1"/>
    <xf numFmtId="9" fontId="27" fillId="0" borderId="0" xfId="0" applyNumberFormat="1" applyFont="1"/>
    <xf numFmtId="167" fontId="0" fillId="0" borderId="0" xfId="0" applyNumberFormat="1"/>
    <xf numFmtId="10" fontId="0" fillId="0" borderId="0" xfId="0" applyNumberFormat="1"/>
    <xf numFmtId="167" fontId="3" fillId="0" borderId="10" xfId="31" applyNumberFormat="1" applyFont="1" applyBorder="1"/>
    <xf numFmtId="9" fontId="2" fillId="0" borderId="11" xfId="67" applyBorder="1"/>
    <xf numFmtId="9" fontId="2" fillId="0" borderId="19" xfId="67" applyBorder="1"/>
    <xf numFmtId="167" fontId="3" fillId="0" borderId="10" xfId="36" applyNumberFormat="1" applyFont="1" applyBorder="1"/>
    <xf numFmtId="15" fontId="29" fillId="25" borderId="0" xfId="0" quotePrefix="1" applyNumberFormat="1" applyFont="1" applyFill="1"/>
    <xf numFmtId="46" fontId="3" fillId="25" borderId="0" xfId="0" quotePrefix="1" applyNumberFormat="1" applyFont="1" applyFill="1" applyAlignment="1">
      <alignment horizontal="left"/>
    </xf>
    <xf numFmtId="17" fontId="30" fillId="24" borderId="0" xfId="0" quotePrefix="1" applyNumberFormat="1" applyFont="1" applyFill="1" applyAlignment="1">
      <alignment horizontal="left"/>
    </xf>
    <xf numFmtId="17" fontId="30" fillId="25" borderId="0" xfId="0" quotePrefix="1" applyNumberFormat="1" applyFont="1" applyFill="1" applyAlignment="1">
      <alignment horizontal="left"/>
    </xf>
    <xf numFmtId="0" fontId="24" fillId="0" borderId="0" xfId="0" applyFont="1"/>
    <xf numFmtId="0" fontId="24" fillId="24" borderId="0" xfId="0" applyFont="1" applyFill="1"/>
    <xf numFmtId="17" fontId="3" fillId="25" borderId="0" xfId="0" quotePrefix="1" applyNumberFormat="1" applyFont="1" applyFill="1" applyAlignment="1">
      <alignment horizontal="left"/>
    </xf>
    <xf numFmtId="15" fontId="29" fillId="0" borderId="0" xfId="0" applyNumberFormat="1" applyFont="1"/>
    <xf numFmtId="17" fontId="24" fillId="0" borderId="0" xfId="0" applyNumberFormat="1" applyFont="1"/>
    <xf numFmtId="9" fontId="3" fillId="0" borderId="10" xfId="67" applyFont="1" applyBorder="1"/>
    <xf numFmtId="0" fontId="2" fillId="24" borderId="20" xfId="0" applyFont="1" applyFill="1" applyBorder="1" applyAlignment="1">
      <alignment horizontal="center"/>
    </xf>
  </cellXfs>
  <cellStyles count="74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 10" xfId="28" xr:uid="{00000000-0005-0000-0000-00001B000000}"/>
    <cellStyle name="Comma 11" xfId="29" xr:uid="{00000000-0005-0000-0000-00001C000000}"/>
    <cellStyle name="Comma 11 2" xfId="30" xr:uid="{00000000-0005-0000-0000-00001D000000}"/>
    <cellStyle name="Comma 12" xfId="31" xr:uid="{00000000-0005-0000-0000-00001E000000}"/>
    <cellStyle name="Comma 13" xfId="32" xr:uid="{00000000-0005-0000-0000-00001F000000}"/>
    <cellStyle name="Comma 13 2" xfId="33" xr:uid="{00000000-0005-0000-0000-000020000000}"/>
    <cellStyle name="Comma 14" xfId="34" xr:uid="{00000000-0005-0000-0000-000021000000}"/>
    <cellStyle name="Comma 2" xfId="35" xr:uid="{00000000-0005-0000-0000-000022000000}"/>
    <cellStyle name="Comma 2 2 5" xfId="36" xr:uid="{00000000-0005-0000-0000-000023000000}"/>
    <cellStyle name="Comma 3" xfId="37" xr:uid="{00000000-0005-0000-0000-000024000000}"/>
    <cellStyle name="Comma 4" xfId="38" xr:uid="{00000000-0005-0000-0000-000025000000}"/>
    <cellStyle name="Comma 5" xfId="39" xr:uid="{00000000-0005-0000-0000-000026000000}"/>
    <cellStyle name="Comma 6" xfId="40" xr:uid="{00000000-0005-0000-0000-000027000000}"/>
    <cellStyle name="Comma 7" xfId="41" xr:uid="{00000000-0005-0000-0000-000028000000}"/>
    <cellStyle name="Comma 8" xfId="42" xr:uid="{00000000-0005-0000-0000-000029000000}"/>
    <cellStyle name="Comma 9" xfId="43" xr:uid="{00000000-0005-0000-0000-00002A000000}"/>
    <cellStyle name="Euro" xfId="44" xr:uid="{00000000-0005-0000-0000-00002B000000}"/>
    <cellStyle name="Explanatory Text 2" xfId="45" xr:uid="{00000000-0005-0000-0000-00002C000000}"/>
    <cellStyle name="Good 2" xfId="46" xr:uid="{00000000-0005-0000-0000-00002D000000}"/>
    <cellStyle name="Heading 1 2" xfId="47" xr:uid="{00000000-0005-0000-0000-00002E000000}"/>
    <cellStyle name="Heading 2 2" xfId="48" xr:uid="{00000000-0005-0000-0000-00002F000000}"/>
    <cellStyle name="Heading 3 2" xfId="49" xr:uid="{00000000-0005-0000-0000-000030000000}"/>
    <cellStyle name="Heading 4 2" xfId="50" xr:uid="{00000000-0005-0000-0000-000031000000}"/>
    <cellStyle name="Input 2" xfId="51" xr:uid="{00000000-0005-0000-0000-000032000000}"/>
    <cellStyle name="Linked Cell 2" xfId="52" xr:uid="{00000000-0005-0000-0000-000033000000}"/>
    <cellStyle name="Neutral 2" xfId="53" xr:uid="{00000000-0005-0000-0000-000034000000}"/>
    <cellStyle name="Normal" xfId="0" builtinId="0"/>
    <cellStyle name="Normal 2" xfId="54" xr:uid="{00000000-0005-0000-0000-000036000000}"/>
    <cellStyle name="Normal 2 2" xfId="55" xr:uid="{00000000-0005-0000-0000-000037000000}"/>
    <cellStyle name="Normal 2 3" xfId="56" xr:uid="{00000000-0005-0000-0000-000038000000}"/>
    <cellStyle name="Normal 2 3 2" xfId="57" xr:uid="{00000000-0005-0000-0000-000039000000}"/>
    <cellStyle name="Normal 3" xfId="58" xr:uid="{00000000-0005-0000-0000-00003A000000}"/>
    <cellStyle name="Normal 4" xfId="59" xr:uid="{00000000-0005-0000-0000-00003B000000}"/>
    <cellStyle name="Normal 5" xfId="60" xr:uid="{00000000-0005-0000-0000-00003C000000}"/>
    <cellStyle name="Normal 5 2" xfId="61" xr:uid="{00000000-0005-0000-0000-00003D000000}"/>
    <cellStyle name="Normal 6" xfId="62" xr:uid="{00000000-0005-0000-0000-00003E000000}"/>
    <cellStyle name="Normal 6 2" xfId="63" xr:uid="{00000000-0005-0000-0000-00003F000000}"/>
    <cellStyle name="Note 2" xfId="64" xr:uid="{00000000-0005-0000-0000-000040000000}"/>
    <cellStyle name="Output 2" xfId="65" xr:uid="{00000000-0005-0000-0000-000041000000}"/>
    <cellStyle name="Percent 2" xfId="66" xr:uid="{00000000-0005-0000-0000-000042000000}"/>
    <cellStyle name="Percent 2 2" xfId="67" xr:uid="{00000000-0005-0000-0000-000043000000}"/>
    <cellStyle name="Percent 3" xfId="68" xr:uid="{00000000-0005-0000-0000-000044000000}"/>
    <cellStyle name="Percent 4" xfId="69" xr:uid="{00000000-0005-0000-0000-000045000000}"/>
    <cellStyle name="Percent 5" xfId="70" xr:uid="{00000000-0005-0000-0000-000046000000}"/>
    <cellStyle name="Title 2" xfId="71" xr:uid="{00000000-0005-0000-0000-000047000000}"/>
    <cellStyle name="Total 2" xfId="72" xr:uid="{00000000-0005-0000-0000-000048000000}"/>
    <cellStyle name="Warning Text 2" xfId="73" xr:uid="{00000000-0005-0000-0000-00004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2"/>
  <sheetViews>
    <sheetView tabSelected="1" workbookViewId="0">
      <pane ySplit="1" topLeftCell="A151" activePane="bottomLeft" state="frozen"/>
      <selection pane="bottomLeft" activeCell="D166" sqref="D166"/>
    </sheetView>
  </sheetViews>
  <sheetFormatPr defaultRowHeight="14.5" x14ac:dyDescent="0.35"/>
  <cols>
    <col min="1" max="1" width="10.1796875" style="65" customWidth="1"/>
    <col min="2" max="2" width="12" customWidth="1"/>
    <col min="3" max="3" width="24.7265625" customWidth="1"/>
    <col min="4" max="4" width="27.26953125" customWidth="1"/>
    <col min="5" max="5" width="10.7265625" customWidth="1"/>
    <col min="6" max="6" width="18" customWidth="1"/>
    <col min="7" max="7" width="26.1796875" bestFit="1" customWidth="1"/>
    <col min="8" max="8" width="10.26953125" bestFit="1" customWidth="1"/>
  </cols>
  <sheetData>
    <row r="1" spans="1:8" x14ac:dyDescent="0.35">
      <c r="A1" s="71" t="s">
        <v>0</v>
      </c>
      <c r="B1" s="71"/>
      <c r="C1" s="24" t="s">
        <v>1</v>
      </c>
      <c r="D1" s="1" t="s">
        <v>2</v>
      </c>
      <c r="E1" s="1" t="s">
        <v>3</v>
      </c>
      <c r="F1" s="2" t="s">
        <v>4</v>
      </c>
      <c r="G1" s="3" t="s">
        <v>5</v>
      </c>
      <c r="H1" s="4" t="s">
        <v>6</v>
      </c>
    </row>
    <row r="2" spans="1:8" x14ac:dyDescent="0.35">
      <c r="A2" s="63" t="s">
        <v>7</v>
      </c>
      <c r="B2" s="5"/>
      <c r="C2" s="6">
        <v>8.5900000000000004E-2</v>
      </c>
      <c r="D2" s="6">
        <v>0.13988529511698744</v>
      </c>
      <c r="E2" s="6">
        <v>0.10038666479790452</v>
      </c>
      <c r="F2" s="6">
        <v>0.447935118009407</v>
      </c>
      <c r="G2" s="6">
        <v>0.21052331683016018</v>
      </c>
      <c r="H2" s="6">
        <v>1.5349075325321933E-2</v>
      </c>
    </row>
    <row r="3" spans="1:8" x14ac:dyDescent="0.35">
      <c r="A3" s="63" t="s">
        <v>8</v>
      </c>
      <c r="B3" s="5"/>
      <c r="C3" s="6">
        <v>0.1042</v>
      </c>
      <c r="D3" s="6">
        <v>0.16281960799115436</v>
      </c>
      <c r="E3" s="6">
        <v>0.13024001189736514</v>
      </c>
      <c r="F3" s="6">
        <v>0.46416800602488872</v>
      </c>
      <c r="G3" s="6">
        <v>0.11960528531595467</v>
      </c>
      <c r="H3" s="6">
        <v>1.8993807561513976E-2</v>
      </c>
    </row>
    <row r="4" spans="1:8" x14ac:dyDescent="0.35">
      <c r="A4" s="63" t="s">
        <v>9</v>
      </c>
      <c r="B4" s="5"/>
      <c r="C4" s="6">
        <v>0.12837598221086174</v>
      </c>
      <c r="D4" s="6">
        <v>0.18001583340718372</v>
      </c>
      <c r="E4" s="6">
        <v>0.1366303306834801</v>
      </c>
      <c r="F4" s="6">
        <v>0.43894899121026826</v>
      </c>
      <c r="G4" s="6">
        <v>0.10222480972904076</v>
      </c>
      <c r="H4" s="6">
        <v>1.3804052759165568E-2</v>
      </c>
    </row>
    <row r="5" spans="1:8" x14ac:dyDescent="0.35">
      <c r="A5" s="63" t="s">
        <v>10</v>
      </c>
      <c r="B5" s="5"/>
      <c r="C5" s="6">
        <v>0.13769999999999999</v>
      </c>
      <c r="D5" s="6">
        <v>0.18269688370611617</v>
      </c>
      <c r="E5" s="6">
        <v>0.12427387670421214</v>
      </c>
      <c r="F5" s="6">
        <v>0.39932636765992086</v>
      </c>
      <c r="G5" s="6">
        <v>0.13207275257893292</v>
      </c>
      <c r="H5" s="6">
        <v>2.3926890480519152E-2</v>
      </c>
    </row>
    <row r="6" spans="1:8" x14ac:dyDescent="0.35">
      <c r="A6" s="63" t="s">
        <v>11</v>
      </c>
      <c r="B6" s="5"/>
      <c r="C6" s="7">
        <v>0.21768878730515343</v>
      </c>
      <c r="D6" s="6">
        <v>0.17713250212217385</v>
      </c>
      <c r="E6" s="6">
        <v>0.14145029885446725</v>
      </c>
      <c r="F6" s="6">
        <v>0.36454108266525492</v>
      </c>
      <c r="G6" s="6">
        <v>8.1115579700094489E-2</v>
      </c>
      <c r="H6" s="6">
        <v>1.8071749352855992E-2</v>
      </c>
    </row>
    <row r="7" spans="1:8" x14ac:dyDescent="0.35">
      <c r="A7" s="64" t="s">
        <v>12</v>
      </c>
      <c r="B7" s="8" t="s">
        <v>13</v>
      </c>
      <c r="C7" s="9">
        <v>0.2258450076375704</v>
      </c>
      <c r="D7" s="9">
        <v>0.1705205559884731</v>
      </c>
      <c r="E7" s="9">
        <v>0.141029961055502</v>
      </c>
      <c r="F7" s="9">
        <v>0.36940926583475875</v>
      </c>
      <c r="G7" s="9">
        <v>7.1415119789129192E-2</v>
      </c>
      <c r="H7" s="9">
        <v>2.1780089694566466E-2</v>
      </c>
    </row>
    <row r="8" spans="1:8" x14ac:dyDescent="0.35">
      <c r="A8" s="10"/>
      <c r="B8" s="5" t="s">
        <v>14</v>
      </c>
      <c r="C8" s="6">
        <v>0.228200524272337</v>
      </c>
      <c r="D8" s="6">
        <v>0.16342779383838205</v>
      </c>
      <c r="E8" s="6">
        <v>0.133909413483147</v>
      </c>
      <c r="F8" s="6">
        <v>0.37984410754312692</v>
      </c>
      <c r="G8" s="6">
        <v>6.1368209465259102E-2</v>
      </c>
      <c r="H8" s="6">
        <v>3.3249951397747855E-2</v>
      </c>
    </row>
    <row r="9" spans="1:8" x14ac:dyDescent="0.35">
      <c r="A9" s="10"/>
      <c r="B9" s="5" t="s">
        <v>15</v>
      </c>
      <c r="C9" s="6">
        <v>0.26120832586879145</v>
      </c>
      <c r="D9" s="6">
        <v>0.1654042479614142</v>
      </c>
      <c r="E9" s="6">
        <v>0.12712703045063942</v>
      </c>
      <c r="F9" s="6">
        <v>0.35804420501898498</v>
      </c>
      <c r="G9" s="6">
        <v>6.034576744832839E-2</v>
      </c>
      <c r="H9" s="6">
        <v>2.7870423251841501E-2</v>
      </c>
    </row>
    <row r="10" spans="1:8" x14ac:dyDescent="0.35">
      <c r="A10" s="10"/>
      <c r="B10" s="5" t="s">
        <v>16</v>
      </c>
      <c r="C10" s="6">
        <v>0.26903586464978774</v>
      </c>
      <c r="D10" s="6">
        <v>0.16649035215152308</v>
      </c>
      <c r="E10" s="6">
        <v>0.12353168875964102</v>
      </c>
      <c r="F10" s="6">
        <v>0.35310628759718632</v>
      </c>
      <c r="G10" s="6">
        <v>6.0924951833840772E-2</v>
      </c>
      <c r="H10" s="6">
        <v>2.6910855008021019E-2</v>
      </c>
    </row>
    <row r="11" spans="1:8" x14ac:dyDescent="0.35">
      <c r="A11" s="10"/>
      <c r="B11" s="5" t="s">
        <v>17</v>
      </c>
      <c r="C11" s="6">
        <v>0.27504720432122309</v>
      </c>
      <c r="D11" s="6">
        <v>0.1689560445719572</v>
      </c>
      <c r="E11" s="6">
        <v>0.1251178426794696</v>
      </c>
      <c r="F11" s="6">
        <v>0.34519957291185127</v>
      </c>
      <c r="G11" s="6">
        <v>5.9455436763486476E-2</v>
      </c>
      <c r="H11" s="6">
        <v>2.6223898752012323E-2</v>
      </c>
    </row>
    <row r="12" spans="1:8" x14ac:dyDescent="0.35">
      <c r="A12" s="10"/>
      <c r="B12" s="5" t="s">
        <v>18</v>
      </c>
      <c r="C12" s="6">
        <v>0.29091738716264598</v>
      </c>
      <c r="D12" s="6">
        <v>0.16600833231717663</v>
      </c>
      <c r="E12" s="6">
        <v>0.11883232141043154</v>
      </c>
      <c r="F12" s="6">
        <v>0.33393495988143468</v>
      </c>
      <c r="G12" s="6">
        <v>6.4518522084442601E-2</v>
      </c>
      <c r="H12" s="6">
        <v>2.5788477143868182E-2</v>
      </c>
    </row>
    <row r="13" spans="1:8" x14ac:dyDescent="0.35">
      <c r="A13" s="10"/>
      <c r="B13" s="5" t="s">
        <v>19</v>
      </c>
      <c r="C13" s="6">
        <v>0.28334260750379597</v>
      </c>
      <c r="D13" s="6">
        <v>0.16746175818221276</v>
      </c>
      <c r="E13" s="6">
        <v>0.11619402564362649</v>
      </c>
      <c r="F13" s="6">
        <v>0.33766462208515713</v>
      </c>
      <c r="G13" s="6">
        <v>7.3745856025894271E-2</v>
      </c>
      <c r="H13" s="6">
        <v>2.1591130559313325E-2</v>
      </c>
    </row>
    <row r="14" spans="1:8" x14ac:dyDescent="0.35">
      <c r="A14" s="10"/>
      <c r="B14" s="5" t="s">
        <v>20</v>
      </c>
      <c r="C14" s="6">
        <v>0.28835320101328688</v>
      </c>
      <c r="D14" s="6">
        <v>0.16513262028125186</v>
      </c>
      <c r="E14" s="6">
        <v>0.11510527763825677</v>
      </c>
      <c r="F14" s="6">
        <v>0.33688692611110738</v>
      </c>
      <c r="G14" s="6">
        <v>7.3056577706168413E-2</v>
      </c>
      <c r="H14" s="6">
        <v>2.1465397249928686E-2</v>
      </c>
    </row>
    <row r="15" spans="1:8" x14ac:dyDescent="0.35">
      <c r="A15" s="10"/>
      <c r="B15" s="5" t="s">
        <v>21</v>
      </c>
      <c r="C15" s="6">
        <v>0.28752425195670733</v>
      </c>
      <c r="D15" s="6">
        <v>0.16126966418916003</v>
      </c>
      <c r="E15" s="6">
        <v>0.11635384752360332</v>
      </c>
      <c r="F15" s="6">
        <v>0.33617036952873786</v>
      </c>
      <c r="G15" s="6">
        <v>7.6250159790094668E-2</v>
      </c>
      <c r="H15" s="6">
        <v>2.2431707011696739E-2</v>
      </c>
    </row>
    <row r="16" spans="1:8" x14ac:dyDescent="0.35">
      <c r="A16" s="10"/>
      <c r="B16" s="5" t="s">
        <v>22</v>
      </c>
      <c r="C16" s="6">
        <v>0.28608451368214821</v>
      </c>
      <c r="D16" s="6">
        <v>0.16924441679057842</v>
      </c>
      <c r="E16" s="6">
        <v>0.11579286880963967</v>
      </c>
      <c r="F16" s="6">
        <v>0.33325084655212289</v>
      </c>
      <c r="G16" s="6">
        <v>7.4773662013855838E-2</v>
      </c>
      <c r="H16" s="6">
        <v>2.0853692151654876E-2</v>
      </c>
    </row>
    <row r="17" spans="1:8" x14ac:dyDescent="0.35">
      <c r="A17" s="64" t="s">
        <v>23</v>
      </c>
      <c r="B17" s="8" t="s">
        <v>13</v>
      </c>
      <c r="C17" s="9">
        <v>0.29064915014691828</v>
      </c>
      <c r="D17" s="9">
        <v>0.16274992537758282</v>
      </c>
      <c r="E17" s="9">
        <v>0.11644013974978014</v>
      </c>
      <c r="F17" s="9">
        <v>0.32946074307645473</v>
      </c>
      <c r="G17" s="9">
        <v>7.9670150900323394E-2</v>
      </c>
      <c r="H17" s="9">
        <v>2.1029890748940575E-2</v>
      </c>
    </row>
    <row r="18" spans="1:8" x14ac:dyDescent="0.35">
      <c r="A18" s="10"/>
      <c r="B18" s="5" t="s">
        <v>24</v>
      </c>
      <c r="C18" s="6">
        <v>0.29559999999999997</v>
      </c>
      <c r="D18" s="6">
        <v>0.17130000000000001</v>
      </c>
      <c r="E18" s="6">
        <v>0.111</v>
      </c>
      <c r="F18" s="6">
        <v>0.32389999999999997</v>
      </c>
      <c r="G18" s="6">
        <v>7.5899999999999995E-2</v>
      </c>
      <c r="H18" s="6">
        <v>2.2200000000000001E-2</v>
      </c>
    </row>
    <row r="19" spans="1:8" x14ac:dyDescent="0.35">
      <c r="A19" s="10"/>
      <c r="B19" s="5" t="s">
        <v>25</v>
      </c>
      <c r="C19" s="6">
        <v>0.29239999999999999</v>
      </c>
      <c r="D19" s="6">
        <v>0.17019999999999999</v>
      </c>
      <c r="E19" s="6">
        <v>0.1154</v>
      </c>
      <c r="F19" s="6">
        <v>0.32429999999999998</v>
      </c>
      <c r="G19" s="6">
        <v>7.5700000000000003E-2</v>
      </c>
      <c r="H19" s="6">
        <v>2.2000000000000002E-2</v>
      </c>
    </row>
    <row r="20" spans="1:8" x14ac:dyDescent="0.35">
      <c r="A20" s="10"/>
      <c r="B20" s="5" t="s">
        <v>26</v>
      </c>
      <c r="C20" s="6">
        <v>0.31040000000000001</v>
      </c>
      <c r="D20" s="6">
        <v>0.16689999999999999</v>
      </c>
      <c r="E20" s="6">
        <v>0.1108</v>
      </c>
      <c r="F20" s="6">
        <v>0.32040000000000002</v>
      </c>
      <c r="G20" s="6">
        <v>6.88E-2</v>
      </c>
      <c r="H20" s="6">
        <v>2.2600000000000006E-2</v>
      </c>
    </row>
    <row r="21" spans="1:8" x14ac:dyDescent="0.35">
      <c r="A21" s="10"/>
      <c r="B21" s="5" t="s">
        <v>15</v>
      </c>
      <c r="C21" s="6">
        <v>0.315</v>
      </c>
      <c r="D21" s="6">
        <v>0.17229999999999998</v>
      </c>
      <c r="E21" s="6">
        <v>0.1085</v>
      </c>
      <c r="F21" s="6">
        <v>0.315</v>
      </c>
      <c r="G21" s="6">
        <v>6.7599999999999993E-2</v>
      </c>
      <c r="H21" s="6">
        <v>2.1700000000000001E-2</v>
      </c>
    </row>
    <row r="22" spans="1:8" x14ac:dyDescent="0.35">
      <c r="A22" s="10"/>
      <c r="B22" s="5" t="s">
        <v>16</v>
      </c>
      <c r="C22" s="6">
        <v>0.31990000000000002</v>
      </c>
      <c r="D22" s="6">
        <v>0.17749999999999999</v>
      </c>
      <c r="E22" s="6">
        <v>0.1108</v>
      </c>
      <c r="F22" s="6">
        <v>0.30939999999999995</v>
      </c>
      <c r="G22" s="6">
        <v>6.0699999999999997E-2</v>
      </c>
      <c r="H22" s="6">
        <v>2.1500000000000002E-2</v>
      </c>
    </row>
    <row r="23" spans="1:8" x14ac:dyDescent="0.35">
      <c r="A23" s="10"/>
      <c r="B23" s="5" t="s">
        <v>27</v>
      </c>
      <c r="C23" s="6">
        <v>0.33329999999999999</v>
      </c>
      <c r="D23" s="6">
        <v>0.1759</v>
      </c>
      <c r="E23" s="6">
        <v>0.1041</v>
      </c>
      <c r="F23" s="6">
        <v>0.30619999999999997</v>
      </c>
      <c r="G23" s="6">
        <v>5.8200000000000002E-2</v>
      </c>
      <c r="H23" s="6">
        <v>2.1999999999999999E-2</v>
      </c>
    </row>
    <row r="24" spans="1:8" x14ac:dyDescent="0.35">
      <c r="A24" s="10"/>
      <c r="B24" s="5" t="s">
        <v>18</v>
      </c>
      <c r="C24" s="6">
        <v>0.32719999999999999</v>
      </c>
      <c r="D24" s="6">
        <v>0.1784</v>
      </c>
      <c r="E24" s="6">
        <v>9.9000000000000005E-2</v>
      </c>
      <c r="F24" s="6">
        <v>0.30530000000000002</v>
      </c>
      <c r="G24" s="6">
        <v>6.6000000000000003E-2</v>
      </c>
      <c r="H24" s="6">
        <v>2.3800000000000002E-2</v>
      </c>
    </row>
    <row r="25" spans="1:8" x14ac:dyDescent="0.35">
      <c r="A25" s="10"/>
      <c r="B25" s="5" t="s">
        <v>19</v>
      </c>
      <c r="C25" s="6">
        <v>0.33310000000000001</v>
      </c>
      <c r="D25" s="6">
        <v>0.17389999999999997</v>
      </c>
      <c r="E25" s="6">
        <v>0.10349999999999999</v>
      </c>
      <c r="F25" s="6">
        <v>0.30199999999999994</v>
      </c>
      <c r="G25" s="6">
        <v>6.4899999999999999E-2</v>
      </c>
      <c r="H25" s="6">
        <v>2.3E-2</v>
      </c>
    </row>
    <row r="26" spans="1:8" x14ac:dyDescent="0.35">
      <c r="A26" s="10"/>
      <c r="B26" s="5" t="s">
        <v>20</v>
      </c>
      <c r="C26" s="6">
        <v>0.3518</v>
      </c>
      <c r="D26" s="6">
        <v>0.16390000000000002</v>
      </c>
      <c r="E26" s="6">
        <v>9.5899999999999999E-2</v>
      </c>
      <c r="F26" s="6">
        <v>0.30010000000000003</v>
      </c>
      <c r="G26" s="6">
        <v>6.4899999999999999E-2</v>
      </c>
      <c r="H26" s="6">
        <v>2.3400000000000004E-2</v>
      </c>
    </row>
    <row r="27" spans="1:8" x14ac:dyDescent="0.35">
      <c r="A27" s="10"/>
      <c r="B27" s="5" t="s">
        <v>21</v>
      </c>
      <c r="C27" s="6">
        <v>0.34970000000000001</v>
      </c>
      <c r="D27" s="6">
        <v>0.16510000000000002</v>
      </c>
      <c r="E27" s="6">
        <v>9.7100000000000006E-2</v>
      </c>
      <c r="F27" s="6">
        <v>0.2964</v>
      </c>
      <c r="G27" s="6">
        <v>6.7900000000000002E-2</v>
      </c>
      <c r="H27" s="6">
        <v>2.3800000000000002E-2</v>
      </c>
    </row>
    <row r="28" spans="1:8" x14ac:dyDescent="0.35">
      <c r="A28" s="10"/>
      <c r="B28" s="5" t="s">
        <v>22</v>
      </c>
      <c r="C28" s="6">
        <v>0.35880000000000001</v>
      </c>
      <c r="D28" s="6">
        <v>0.1701</v>
      </c>
      <c r="E28" s="6">
        <v>0.14079999999999998</v>
      </c>
      <c r="F28" s="6">
        <v>0.25159999999999999</v>
      </c>
      <c r="G28" s="6">
        <v>5.7799999999999997E-2</v>
      </c>
      <c r="H28" s="6">
        <v>2.0900000000000002E-2</v>
      </c>
    </row>
    <row r="29" spans="1:8" x14ac:dyDescent="0.35">
      <c r="A29" s="64" t="s">
        <v>28</v>
      </c>
      <c r="B29" s="8" t="s">
        <v>13</v>
      </c>
      <c r="C29" s="9">
        <v>0.36499999999999999</v>
      </c>
      <c r="D29" s="9">
        <v>0.1686</v>
      </c>
      <c r="E29" s="9">
        <v>8.9300000000000004E-2</v>
      </c>
      <c r="F29" s="9">
        <v>0.29680000000000001</v>
      </c>
      <c r="G29" s="9">
        <v>6.1699999999999998E-2</v>
      </c>
      <c r="H29" s="9">
        <v>1.8420000000000002E-2</v>
      </c>
    </row>
    <row r="30" spans="1:8" x14ac:dyDescent="0.35">
      <c r="A30" s="10"/>
      <c r="B30" s="5" t="s">
        <v>24</v>
      </c>
      <c r="C30" s="6">
        <v>0.36868489154048523</v>
      </c>
      <c r="D30" s="6">
        <v>0.1632762557263405</v>
      </c>
      <c r="E30" s="6">
        <v>8.4976227769939031E-2</v>
      </c>
      <c r="F30" s="6">
        <v>0.28072112461043186</v>
      </c>
      <c r="G30" s="6">
        <v>6.7730078372759545E-2</v>
      </c>
      <c r="H30" s="6">
        <v>3.4611421980043799E-2</v>
      </c>
    </row>
    <row r="31" spans="1:8" x14ac:dyDescent="0.35">
      <c r="A31" s="10"/>
      <c r="B31" s="5" t="s">
        <v>25</v>
      </c>
      <c r="C31" s="6">
        <v>0.38013154421057976</v>
      </c>
      <c r="D31" s="6">
        <v>0.14221124582735345</v>
      </c>
      <c r="E31" s="6">
        <v>8.8187465261916259E-2</v>
      </c>
      <c r="F31" s="6">
        <v>0.29061139643546424</v>
      </c>
      <c r="G31" s="6">
        <v>6.6615747707769749E-2</v>
      </c>
      <c r="H31" s="6">
        <v>3.2242600556916627E-2</v>
      </c>
    </row>
    <row r="32" spans="1:8" x14ac:dyDescent="0.35">
      <c r="A32" s="10"/>
      <c r="B32" s="5" t="s">
        <v>26</v>
      </c>
      <c r="C32" s="6">
        <v>0.38693612611416678</v>
      </c>
      <c r="D32" s="6">
        <v>0.14913183707444944</v>
      </c>
      <c r="E32" s="6">
        <v>8.1306311712689289E-2</v>
      </c>
      <c r="F32" s="6">
        <v>0.28565772622354463</v>
      </c>
      <c r="G32" s="6">
        <v>6.570444139114566E-2</v>
      </c>
      <c r="H32" s="6">
        <v>3.1263557484004355E-2</v>
      </c>
    </row>
    <row r="33" spans="1:8" x14ac:dyDescent="0.35">
      <c r="A33" s="10"/>
      <c r="B33" s="5" t="s">
        <v>15</v>
      </c>
      <c r="C33" s="6">
        <v>0.38200296940097361</v>
      </c>
      <c r="D33" s="6">
        <v>0.14654283745192756</v>
      </c>
      <c r="E33" s="6">
        <v>8.0464719502782889E-2</v>
      </c>
      <c r="F33" s="6">
        <v>0.28414198193557744</v>
      </c>
      <c r="G33" s="6">
        <v>7.409547726009412E-2</v>
      </c>
      <c r="H33" s="6">
        <v>3.2752014448644458E-2</v>
      </c>
    </row>
    <row r="34" spans="1:8" x14ac:dyDescent="0.35">
      <c r="A34" s="10"/>
      <c r="B34" s="5" t="s">
        <v>16</v>
      </c>
      <c r="C34" s="6">
        <v>0.36698699363774578</v>
      </c>
      <c r="D34" s="6">
        <v>0.14580192180022544</v>
      </c>
      <c r="E34" s="6">
        <v>9.0017530197892548E-2</v>
      </c>
      <c r="F34" s="6">
        <v>0.28612063272119986</v>
      </c>
      <c r="G34" s="6">
        <v>7.990502312973545E-2</v>
      </c>
      <c r="H34" s="6">
        <v>3.1167898513201044E-2</v>
      </c>
    </row>
    <row r="35" spans="1:8" x14ac:dyDescent="0.35">
      <c r="A35" s="10"/>
      <c r="B35" s="5" t="s">
        <v>27</v>
      </c>
      <c r="C35" s="6">
        <v>0.37139827457635316</v>
      </c>
      <c r="D35" s="6">
        <v>0.14864920727445921</v>
      </c>
      <c r="E35" s="6">
        <v>8.4694807501448047E-2</v>
      </c>
      <c r="F35" s="6">
        <v>0.2899393380965099</v>
      </c>
      <c r="G35" s="6">
        <v>7.348655964368471E-2</v>
      </c>
      <c r="H35" s="6">
        <v>3.1831812907545096E-2</v>
      </c>
    </row>
    <row r="36" spans="1:8" x14ac:dyDescent="0.35">
      <c r="A36" s="10"/>
      <c r="B36" s="5" t="s">
        <v>18</v>
      </c>
      <c r="C36" s="6">
        <v>0.3725152474975133</v>
      </c>
      <c r="D36" s="6">
        <v>0.14243383168248072</v>
      </c>
      <c r="E36" s="6">
        <v>8.5089289064313928E-2</v>
      </c>
      <c r="F36" s="6">
        <v>0.29090586038558547</v>
      </c>
      <c r="G36" s="6">
        <v>7.7910444361491901E-2</v>
      </c>
      <c r="H36" s="6">
        <v>3.1145327008614786E-2</v>
      </c>
    </row>
    <row r="37" spans="1:8" x14ac:dyDescent="0.35">
      <c r="A37" s="10"/>
      <c r="B37" s="5" t="s">
        <v>29</v>
      </c>
      <c r="C37" s="6">
        <v>0.374</v>
      </c>
      <c r="D37" s="6">
        <v>0.13900000000000001</v>
      </c>
      <c r="E37" s="6">
        <v>8.8999999999999996E-2</v>
      </c>
      <c r="F37" s="6">
        <v>0.28899999999999998</v>
      </c>
      <c r="G37" s="6">
        <v>7.8E-2</v>
      </c>
      <c r="H37" s="6">
        <v>3.1E-2</v>
      </c>
    </row>
    <row r="38" spans="1:8" x14ac:dyDescent="0.35">
      <c r="A38" s="10"/>
      <c r="B38" s="5" t="s">
        <v>30</v>
      </c>
      <c r="C38" s="6">
        <v>0.377</v>
      </c>
      <c r="D38" s="6">
        <v>0.1368</v>
      </c>
      <c r="E38" s="6">
        <v>8.6900000000000005E-2</v>
      </c>
      <c r="F38" s="6">
        <v>0.28939999999999999</v>
      </c>
      <c r="G38" s="6">
        <v>7.8100000000000003E-2</v>
      </c>
      <c r="H38" s="6">
        <v>3.1099999999999999E-2</v>
      </c>
    </row>
    <row r="39" spans="1:8" x14ac:dyDescent="0.35">
      <c r="A39" s="10"/>
      <c r="B39" s="5" t="s">
        <v>31</v>
      </c>
      <c r="C39" s="6">
        <v>0.3639186634889256</v>
      </c>
      <c r="D39" s="6">
        <v>0.14580696353877889</v>
      </c>
      <c r="E39" s="6">
        <v>8.5700160268213921E-2</v>
      </c>
      <c r="F39" s="6">
        <v>0.29221131776068621</v>
      </c>
      <c r="G39" s="6">
        <v>8.1599950730358181E-2</v>
      </c>
      <c r="H39" s="6">
        <v>3.0762944213037324E-2</v>
      </c>
    </row>
    <row r="40" spans="1:8" x14ac:dyDescent="0.35">
      <c r="A40" s="64" t="s">
        <v>32</v>
      </c>
      <c r="B40" s="8" t="s">
        <v>13</v>
      </c>
      <c r="C40" s="9">
        <v>0.35699999999999998</v>
      </c>
      <c r="D40" s="9">
        <v>0.14299999999999999</v>
      </c>
      <c r="E40" s="9">
        <v>8.5000000000000006E-2</v>
      </c>
      <c r="F40" s="9">
        <v>0.3</v>
      </c>
      <c r="G40" s="9">
        <v>8.5000000000000006E-2</v>
      </c>
      <c r="H40" s="9">
        <v>0.03</v>
      </c>
    </row>
    <row r="41" spans="1:8" x14ac:dyDescent="0.35">
      <c r="A41" s="10"/>
      <c r="B41" s="5" t="s">
        <v>33</v>
      </c>
      <c r="C41" s="6">
        <v>0.35737325712967821</v>
      </c>
      <c r="D41" s="6">
        <v>0.13353865461000283</v>
      </c>
      <c r="E41" s="6">
        <v>9.2935115189868037E-2</v>
      </c>
      <c r="F41" s="6">
        <v>0.32162144812586246</v>
      </c>
      <c r="G41" s="6">
        <v>8.0932630527092375E-2</v>
      </c>
      <c r="H41" s="6">
        <v>1.3598894417495904E-2</v>
      </c>
    </row>
    <row r="42" spans="1:8" x14ac:dyDescent="0.35">
      <c r="A42" s="10"/>
      <c r="B42" s="5" t="s">
        <v>25</v>
      </c>
      <c r="C42" s="6">
        <v>0.36129362561442985</v>
      </c>
      <c r="D42" s="6">
        <v>0.13317135119570156</v>
      </c>
      <c r="E42" s="6">
        <v>9.4053607104831488E-2</v>
      </c>
      <c r="F42" s="6">
        <v>0.31925817554898106</v>
      </c>
      <c r="G42" s="6">
        <v>8.0953286358769819E-2</v>
      </c>
      <c r="H42" s="6">
        <v>1.1269954177286073E-2</v>
      </c>
    </row>
    <row r="43" spans="1:8" x14ac:dyDescent="0.35">
      <c r="A43" s="10"/>
      <c r="B43" s="5" t="s">
        <v>26</v>
      </c>
      <c r="C43" s="6">
        <v>0.37038373720081635</v>
      </c>
      <c r="D43" s="6">
        <v>0.13837245633614234</v>
      </c>
      <c r="E43" s="6">
        <v>9.0886470229684102E-2</v>
      </c>
      <c r="F43" s="6">
        <v>0.31701274148505409</v>
      </c>
      <c r="G43" s="6">
        <v>7.1234208070854163E-2</v>
      </c>
      <c r="H43" s="6">
        <v>1.211038667744891E-2</v>
      </c>
    </row>
    <row r="44" spans="1:8" x14ac:dyDescent="0.35">
      <c r="A44" s="10"/>
      <c r="B44" s="5" t="s">
        <v>15</v>
      </c>
      <c r="C44" s="6">
        <v>0.37377867090396266</v>
      </c>
      <c r="D44" s="6">
        <v>0.14150009236094321</v>
      </c>
      <c r="E44" s="6">
        <v>9.0604981846730201E-2</v>
      </c>
      <c r="F44" s="6">
        <v>0.31514780136682397</v>
      </c>
      <c r="G44" s="6">
        <v>6.7158455098203923E-2</v>
      </c>
      <c r="H44" s="6">
        <v>1.08055662115143E-2</v>
      </c>
    </row>
    <row r="45" spans="1:8" x14ac:dyDescent="0.35">
      <c r="A45" s="10"/>
      <c r="B45" s="5" t="s">
        <v>34</v>
      </c>
      <c r="C45" s="6">
        <v>0.38003439482274387</v>
      </c>
      <c r="D45" s="6">
        <v>0.13895842158050775</v>
      </c>
      <c r="E45" s="6">
        <v>9.1424645663257795E-2</v>
      </c>
      <c r="F45" s="6">
        <v>0.31465170382025898</v>
      </c>
      <c r="G45" s="6">
        <v>6.3863644717036552E-2</v>
      </c>
      <c r="H45" s="6">
        <v>1.1067189396194948E-2</v>
      </c>
    </row>
    <row r="46" spans="1:8" x14ac:dyDescent="0.35">
      <c r="A46" s="10"/>
      <c r="B46" s="5" t="s">
        <v>27</v>
      </c>
      <c r="C46" s="6">
        <v>0.38800000000000001</v>
      </c>
      <c r="D46" s="6">
        <v>0.1361</v>
      </c>
      <c r="E46" s="6">
        <v>8.5900000000000004E-2</v>
      </c>
      <c r="F46" s="6">
        <v>0.31159999999999999</v>
      </c>
      <c r="G46" s="6">
        <v>7.0900000000000005E-2</v>
      </c>
      <c r="H46" s="6">
        <v>1.1599999999999999E-2</v>
      </c>
    </row>
    <row r="47" spans="1:8" x14ac:dyDescent="0.35">
      <c r="A47" s="11"/>
      <c r="B47" s="12" t="s">
        <v>18</v>
      </c>
      <c r="C47" s="6">
        <v>0.37080000000000002</v>
      </c>
      <c r="D47" s="6">
        <v>0.13650000000000001</v>
      </c>
      <c r="E47" s="6">
        <v>8.8499999999999995E-2</v>
      </c>
      <c r="F47" s="6">
        <v>0.31040000000000001</v>
      </c>
      <c r="G47" s="6">
        <v>7.7499999999999999E-2</v>
      </c>
      <c r="H47" s="6">
        <v>1.6199999999999999E-2</v>
      </c>
    </row>
    <row r="48" spans="1:8" x14ac:dyDescent="0.35">
      <c r="B48" s="5" t="s">
        <v>29</v>
      </c>
      <c r="C48" s="13">
        <v>0.374</v>
      </c>
      <c r="D48" s="13">
        <v>0.13519999999999999</v>
      </c>
      <c r="E48" s="6">
        <v>8.3799999999999999E-2</v>
      </c>
      <c r="F48" s="13">
        <v>0.31879999999999997</v>
      </c>
      <c r="G48" s="13">
        <v>7.6200000000000004E-2</v>
      </c>
      <c r="H48" s="6">
        <v>1.21E-2</v>
      </c>
    </row>
    <row r="49" spans="1:8" x14ac:dyDescent="0.35">
      <c r="A49" s="66"/>
      <c r="B49" s="12" t="s">
        <v>30</v>
      </c>
      <c r="C49" s="6">
        <v>0.37090000000000001</v>
      </c>
      <c r="D49" s="6">
        <v>0.1386</v>
      </c>
      <c r="E49" s="6">
        <v>8.3799999999999999E-2</v>
      </c>
      <c r="F49" s="6">
        <v>0.31780000000000003</v>
      </c>
      <c r="G49" s="6">
        <v>7.6999999999999999E-2</v>
      </c>
      <c r="H49" s="6">
        <v>1.1900000000000001E-2</v>
      </c>
    </row>
    <row r="50" spans="1:8" x14ac:dyDescent="0.35">
      <c r="B50" s="5" t="s">
        <v>35</v>
      </c>
      <c r="C50" s="6">
        <v>0.37171160291445277</v>
      </c>
      <c r="D50" s="6">
        <v>0.14560000000000001</v>
      </c>
      <c r="E50" s="6">
        <v>8.2899999999999988E-2</v>
      </c>
      <c r="F50" s="6">
        <v>0.31259999999999999</v>
      </c>
      <c r="G50" s="6">
        <v>7.9899999999999999E-2</v>
      </c>
      <c r="H50" s="6">
        <v>7.3000000000000001E-3</v>
      </c>
    </row>
    <row r="51" spans="1:8" x14ac:dyDescent="0.35">
      <c r="B51" s="5" t="s">
        <v>31</v>
      </c>
      <c r="C51" s="6">
        <v>0.3600817031024976</v>
      </c>
      <c r="D51" s="6">
        <v>0.14630000000000001</v>
      </c>
      <c r="E51" s="6">
        <v>8.2595935116136443E-2</v>
      </c>
      <c r="F51" s="6">
        <v>0.31709999999999999</v>
      </c>
      <c r="G51" s="6">
        <v>8.6638927630844881E-2</v>
      </c>
      <c r="H51" s="6">
        <v>7.3000000000000001E-3</v>
      </c>
    </row>
    <row r="52" spans="1:8" x14ac:dyDescent="0.35">
      <c r="A52" s="67" t="s">
        <v>36</v>
      </c>
      <c r="B52" s="14" t="s">
        <v>13</v>
      </c>
      <c r="C52" s="9">
        <v>0.36320000000000002</v>
      </c>
      <c r="D52" s="9">
        <v>0.14530000000000001</v>
      </c>
      <c r="E52" s="9">
        <v>8.1600000000000006E-2</v>
      </c>
      <c r="F52" s="9">
        <v>0.31709999999999999</v>
      </c>
      <c r="G52" s="9">
        <v>8.5800000000000001E-2</v>
      </c>
      <c r="H52" s="9">
        <v>7.0000000000000001E-3</v>
      </c>
    </row>
    <row r="53" spans="1:8" x14ac:dyDescent="0.35">
      <c r="B53" s="5" t="s">
        <v>33</v>
      </c>
      <c r="C53" s="6">
        <v>0.354602463293892</v>
      </c>
      <c r="D53" s="6">
        <v>0.14859999999999998</v>
      </c>
      <c r="E53" s="6">
        <v>8.1500000000000003E-2</v>
      </c>
      <c r="F53" s="6">
        <v>0.31730000000000003</v>
      </c>
      <c r="G53" s="6">
        <v>8.9800000000000005E-2</v>
      </c>
      <c r="H53" s="6">
        <v>8.3000000000000001E-3</v>
      </c>
    </row>
    <row r="54" spans="1:8" x14ac:dyDescent="0.35">
      <c r="B54" s="5" t="s">
        <v>25</v>
      </c>
      <c r="C54" s="6">
        <v>0.35032049848854729</v>
      </c>
      <c r="D54" s="6">
        <v>0.14990000000000001</v>
      </c>
      <c r="E54" s="6">
        <v>8.1099999999999992E-2</v>
      </c>
      <c r="F54" s="6">
        <v>0.31739999999999996</v>
      </c>
      <c r="G54" s="6">
        <v>9.2200000000000004E-2</v>
      </c>
      <c r="H54" s="6">
        <v>8.9999999999999993E-3</v>
      </c>
    </row>
    <row r="55" spans="1:8" x14ac:dyDescent="0.35">
      <c r="B55" s="5" t="s">
        <v>26</v>
      </c>
      <c r="C55" s="6">
        <v>0.35229999999999995</v>
      </c>
      <c r="D55" s="6">
        <v>0.1545</v>
      </c>
      <c r="E55" s="6">
        <v>7.8899999999999998E-2</v>
      </c>
      <c r="F55" s="6">
        <v>0.31620000000000004</v>
      </c>
      <c r="G55" s="6">
        <v>9.0500000000000011E-2</v>
      </c>
      <c r="H55" s="6">
        <v>7.6E-3</v>
      </c>
    </row>
    <row r="56" spans="1:8" x14ac:dyDescent="0.35">
      <c r="B56" s="5" t="s">
        <v>15</v>
      </c>
      <c r="C56" s="6">
        <v>0.35020000000000001</v>
      </c>
      <c r="D56" s="6">
        <v>0.15629999999999999</v>
      </c>
      <c r="E56" s="6">
        <v>7.8200000000000006E-2</v>
      </c>
      <c r="F56" s="6">
        <v>0.3165</v>
      </c>
      <c r="G56" s="6">
        <v>9.1300000000000006E-2</v>
      </c>
      <c r="H56" s="6">
        <v>7.4000000000000003E-3</v>
      </c>
    </row>
    <row r="57" spans="1:8" x14ac:dyDescent="0.35">
      <c r="B57" s="5" t="s">
        <v>34</v>
      </c>
      <c r="C57" s="6">
        <v>0.34339999999999998</v>
      </c>
      <c r="D57" s="6">
        <v>0.16320000000000001</v>
      </c>
      <c r="E57" s="6">
        <v>8.3500000000000005E-2</v>
      </c>
      <c r="F57" s="6">
        <v>0.31559999999999999</v>
      </c>
      <c r="G57" s="6">
        <v>8.6999999999999994E-2</v>
      </c>
      <c r="H57" s="6">
        <v>7.1999999999999998E-3</v>
      </c>
    </row>
    <row r="58" spans="1:8" x14ac:dyDescent="0.35">
      <c r="B58" s="5" t="s">
        <v>27</v>
      </c>
      <c r="C58" s="6">
        <v>0.35249999999999998</v>
      </c>
      <c r="D58" s="6">
        <v>0.1643</v>
      </c>
      <c r="E58" s="6">
        <v>8.6999999999999994E-2</v>
      </c>
      <c r="F58" s="6">
        <v>0.30690000000000001</v>
      </c>
      <c r="G58" s="6">
        <v>8.09E-2</v>
      </c>
      <c r="H58" s="6">
        <v>8.3999999999999995E-3</v>
      </c>
    </row>
    <row r="59" spans="1:8" x14ac:dyDescent="0.35">
      <c r="B59" s="5" t="s">
        <v>37</v>
      </c>
      <c r="C59" s="6">
        <v>0.34359310447505276</v>
      </c>
      <c r="D59" s="6">
        <v>0.17252558462763859</v>
      </c>
      <c r="E59" s="6">
        <v>8.4720460333373632E-2</v>
      </c>
      <c r="F59" s="6">
        <v>0.30760195028751641</v>
      </c>
      <c r="G59" s="6">
        <v>8.4563729158718251E-2</v>
      </c>
      <c r="H59" s="6">
        <v>6.9951711177003899E-3</v>
      </c>
    </row>
    <row r="60" spans="1:8" x14ac:dyDescent="0.35">
      <c r="B60" s="5" t="s">
        <v>29</v>
      </c>
      <c r="C60" s="6">
        <v>0.33689999999999998</v>
      </c>
      <c r="D60" s="6">
        <v>0.16020000000000001</v>
      </c>
      <c r="E60" s="6">
        <v>8.7099999999999997E-2</v>
      </c>
      <c r="F60" s="6">
        <v>0.31219999999999998</v>
      </c>
      <c r="G60" s="6">
        <v>9.1600000000000001E-2</v>
      </c>
      <c r="H60" s="6">
        <v>1.2200000000000001E-2</v>
      </c>
    </row>
    <row r="61" spans="1:8" x14ac:dyDescent="0.35">
      <c r="B61" s="5" t="s">
        <v>30</v>
      </c>
      <c r="C61" s="6">
        <v>0.33696407861067512</v>
      </c>
      <c r="D61" s="6">
        <v>0.16692427272824437</v>
      </c>
      <c r="E61" s="6">
        <v>8.6015541013747476E-2</v>
      </c>
      <c r="F61" s="6">
        <v>0.31085555358330824</v>
      </c>
      <c r="G61" s="6">
        <v>9.1111995559399167E-2</v>
      </c>
      <c r="H61" s="6">
        <v>8.1285585046257224E-3</v>
      </c>
    </row>
    <row r="62" spans="1:8" x14ac:dyDescent="0.35">
      <c r="B62" s="5" t="s">
        <v>35</v>
      </c>
      <c r="C62" s="6">
        <v>0.33339999999999997</v>
      </c>
      <c r="D62" s="6">
        <v>0.17100000000000001</v>
      </c>
      <c r="E62" s="6">
        <v>8.5199999999999998E-2</v>
      </c>
      <c r="F62" s="6">
        <v>0.30819999999999997</v>
      </c>
      <c r="G62" s="6">
        <v>9.5799999999999996E-2</v>
      </c>
      <c r="H62" s="6">
        <v>6.1000000000000004E-3</v>
      </c>
    </row>
    <row r="63" spans="1:8" x14ac:dyDescent="0.35">
      <c r="B63" s="5" t="s">
        <v>31</v>
      </c>
      <c r="C63" s="6">
        <v>0.32405052172338511</v>
      </c>
      <c r="D63" s="6">
        <v>0.17569926606970596</v>
      </c>
      <c r="E63" s="6">
        <v>8.301715051704367E-2</v>
      </c>
      <c r="F63" s="6">
        <v>0.3063798082067512</v>
      </c>
      <c r="G63" s="6">
        <v>0.10256948912319167</v>
      </c>
      <c r="H63" s="6">
        <v>8.2837643599222698E-3</v>
      </c>
    </row>
    <row r="64" spans="1:8" x14ac:dyDescent="0.35">
      <c r="A64" s="62" t="s">
        <v>38</v>
      </c>
      <c r="B64" s="14" t="s">
        <v>39</v>
      </c>
      <c r="C64" s="9">
        <v>0.32343858009693477</v>
      </c>
      <c r="D64" s="9">
        <v>0.17257067577925014</v>
      </c>
      <c r="E64" s="9">
        <v>8.4494044412722916E-2</v>
      </c>
      <c r="F64" s="9">
        <v>0.30749743014207526</v>
      </c>
      <c r="G64" s="9">
        <v>0.10478623361696658</v>
      </c>
      <c r="H64" s="9">
        <v>7.2130359520502039E-3</v>
      </c>
    </row>
    <row r="65" spans="1:11" x14ac:dyDescent="0.35">
      <c r="B65" s="5" t="s">
        <v>33</v>
      </c>
      <c r="C65" s="6">
        <v>0.33571312762859412</v>
      </c>
      <c r="D65" s="6">
        <v>0.16955039720766268</v>
      </c>
      <c r="E65" s="6">
        <v>8.5850503010243787E-2</v>
      </c>
      <c r="F65" s="6">
        <v>0.30280755485483679</v>
      </c>
      <c r="G65" s="6">
        <v>9.8953102002915086E-2</v>
      </c>
      <c r="H65" s="6">
        <v>7.1253152957474622E-3</v>
      </c>
    </row>
    <row r="66" spans="1:11" x14ac:dyDescent="0.35">
      <c r="B66" s="5" t="s">
        <v>25</v>
      </c>
      <c r="C66" s="6">
        <v>0.3410636157113775</v>
      </c>
      <c r="D66" s="6">
        <v>0.16724348324552527</v>
      </c>
      <c r="E66" s="6">
        <v>8.4651088724026116E-2</v>
      </c>
      <c r="F66" s="6">
        <v>0.29956728602994348</v>
      </c>
      <c r="G66" s="6">
        <v>9.996959533827153E-2</v>
      </c>
      <c r="H66" s="6">
        <v>7.6809383494661453E-3</v>
      </c>
      <c r="J66" s="25"/>
    </row>
    <row r="67" spans="1:11" x14ac:dyDescent="0.35">
      <c r="B67" s="5" t="s">
        <v>26</v>
      </c>
      <c r="C67" s="6">
        <v>0.35325632341614727</v>
      </c>
      <c r="D67" s="6">
        <v>0.16637058096476864</v>
      </c>
      <c r="E67" s="6">
        <v>8.3998234087781273E-2</v>
      </c>
      <c r="F67" s="6">
        <v>0.29880967967069622</v>
      </c>
      <c r="G67" s="6">
        <v>9.1100099318118674E-2</v>
      </c>
      <c r="H67" s="6">
        <v>6.4650825424878364E-3</v>
      </c>
    </row>
    <row r="68" spans="1:11" x14ac:dyDescent="0.35">
      <c r="B68" s="5" t="s">
        <v>15</v>
      </c>
      <c r="C68" s="6">
        <v>0.34554916075144804</v>
      </c>
      <c r="D68" s="6">
        <v>0.17078012250153371</v>
      </c>
      <c r="E68" s="6">
        <v>8.2560289338934195E-2</v>
      </c>
      <c r="F68" s="6">
        <v>0.29689563289396359</v>
      </c>
      <c r="G68" s="6">
        <v>9.610936660830352E-2</v>
      </c>
      <c r="H68" s="6">
        <v>8.1054279058168366E-3</v>
      </c>
    </row>
    <row r="69" spans="1:11" x14ac:dyDescent="0.35">
      <c r="B69" s="5" t="s">
        <v>34</v>
      </c>
      <c r="C69" s="6">
        <v>0.35299999999999998</v>
      </c>
      <c r="D69" s="6">
        <v>0.17078012250153371</v>
      </c>
      <c r="E69" s="6">
        <v>8.1000000000000003E-2</v>
      </c>
      <c r="F69" s="6">
        <v>0.29299999999999998</v>
      </c>
      <c r="G69" s="6">
        <v>9.5000000000000001E-2</v>
      </c>
      <c r="H69" s="6">
        <v>7.0000000000000001E-3</v>
      </c>
      <c r="I69" s="25"/>
    </row>
    <row r="70" spans="1:11" x14ac:dyDescent="0.35">
      <c r="B70" s="27" t="s">
        <v>27</v>
      </c>
      <c r="C70" s="6">
        <v>0.365077643467552</v>
      </c>
      <c r="D70" s="6">
        <v>0.16800729573130499</v>
      </c>
      <c r="E70" s="6">
        <v>8.0491384414633493E-2</v>
      </c>
      <c r="F70" s="6">
        <v>0.28958755268337599</v>
      </c>
      <c r="G70" s="6">
        <v>8.9337581283266507E-2</v>
      </c>
      <c r="H70" s="6">
        <v>7.4985424198670296E-3</v>
      </c>
    </row>
    <row r="71" spans="1:11" x14ac:dyDescent="0.35">
      <c r="B71" s="27" t="s">
        <v>37</v>
      </c>
      <c r="C71" s="6">
        <v>0.36634481381177975</v>
      </c>
      <c r="D71" s="6">
        <v>0.17198669111023415</v>
      </c>
      <c r="E71" s="6">
        <v>7.893359591522299E-2</v>
      </c>
      <c r="F71" s="6">
        <v>0.2847846004877625</v>
      </c>
      <c r="G71" s="6">
        <v>9.0358341424167626E-2</v>
      </c>
      <c r="H71" s="6">
        <v>7.5919572508328596E-3</v>
      </c>
    </row>
    <row r="72" spans="1:11" x14ac:dyDescent="0.35">
      <c r="B72" s="27" t="s">
        <v>29</v>
      </c>
      <c r="C72" s="6">
        <v>0.38178820787227191</v>
      </c>
      <c r="D72" s="6">
        <v>0.15902129007624202</v>
      </c>
      <c r="E72" s="6">
        <v>7.0843557948851985E-2</v>
      </c>
      <c r="F72" s="6">
        <v>0.28582272498090355</v>
      </c>
      <c r="G72" s="6">
        <v>9.6087057357364433E-2</v>
      </c>
      <c r="H72" s="6">
        <v>6.4371617643659623E-3</v>
      </c>
    </row>
    <row r="73" spans="1:11" x14ac:dyDescent="0.35">
      <c r="B73" s="27" t="s">
        <v>30</v>
      </c>
      <c r="C73" s="6">
        <v>0.37078924872748092</v>
      </c>
      <c r="D73" s="6">
        <v>0.17030323804179065</v>
      </c>
      <c r="E73" s="6">
        <v>6.9734735065070858E-2</v>
      </c>
      <c r="F73" s="6">
        <v>0.28501894727956406</v>
      </c>
      <c r="G73" s="6">
        <v>9.6480581396653262E-2</v>
      </c>
      <c r="H73" s="6">
        <v>7.6732494894403381E-3</v>
      </c>
    </row>
    <row r="74" spans="1:11" x14ac:dyDescent="0.35">
      <c r="B74" s="27" t="s">
        <v>35</v>
      </c>
      <c r="C74" s="6">
        <v>0.36318842383326827</v>
      </c>
      <c r="D74" s="6">
        <v>0.1773905284131464</v>
      </c>
      <c r="E74" s="6">
        <v>6.9880125164455201E-2</v>
      </c>
      <c r="F74" s="6">
        <v>0.28213936522280481</v>
      </c>
      <c r="G74" s="6">
        <v>0.10105320841495016</v>
      </c>
      <c r="H74" s="6">
        <v>6.3483489513751837E-3</v>
      </c>
    </row>
    <row r="75" spans="1:11" x14ac:dyDescent="0.35">
      <c r="B75" s="27" t="s">
        <v>31</v>
      </c>
      <c r="C75" s="6">
        <v>0.36043105984899382</v>
      </c>
      <c r="D75" s="6">
        <v>0.17799589657812118</v>
      </c>
      <c r="E75" s="6">
        <v>7.1646046806954619E-2</v>
      </c>
      <c r="F75" s="6">
        <v>0.28258870093071486</v>
      </c>
      <c r="G75" s="6">
        <v>0.10272805070093441</v>
      </c>
      <c r="H75" s="6">
        <v>4.6102451342812083E-3</v>
      </c>
    </row>
    <row r="76" spans="1:11" x14ac:dyDescent="0.35">
      <c r="A76" s="62" t="s">
        <v>68</v>
      </c>
      <c r="B76" s="14" t="s">
        <v>39</v>
      </c>
      <c r="C76" s="9">
        <v>0.35947243274831225</v>
      </c>
      <c r="D76" s="9">
        <v>0.1753480808279706</v>
      </c>
      <c r="E76" s="9">
        <v>7.4102364958768735E-2</v>
      </c>
      <c r="F76" s="9">
        <v>0.28103549628172569</v>
      </c>
      <c r="G76" s="9">
        <v>0.10474005864747511</v>
      </c>
      <c r="H76" s="9">
        <v>5.3015665357475086E-3</v>
      </c>
    </row>
    <row r="77" spans="1:11" x14ac:dyDescent="0.35">
      <c r="B77" s="5" t="s">
        <v>33</v>
      </c>
      <c r="C77" s="6">
        <v>0.37109999999999999</v>
      </c>
      <c r="D77" s="6">
        <v>0.16980000000000001</v>
      </c>
      <c r="E77" s="6">
        <v>7.5800000000000006E-2</v>
      </c>
      <c r="F77" s="6">
        <v>0.27360000000000001</v>
      </c>
      <c r="G77" s="6">
        <v>0.1045</v>
      </c>
      <c r="H77" s="6">
        <v>5.1999999999999998E-3</v>
      </c>
    </row>
    <row r="78" spans="1:11" x14ac:dyDescent="0.35">
      <c r="B78" s="5" t="s">
        <v>25</v>
      </c>
      <c r="C78" s="6">
        <v>0.38329999999999997</v>
      </c>
      <c r="D78" s="6">
        <v>0.1716</v>
      </c>
      <c r="E78" s="6">
        <v>7.1499999999999994E-2</v>
      </c>
      <c r="F78" s="6">
        <v>0.27189999999999998</v>
      </c>
      <c r="G78" s="6">
        <v>9.74E-2</v>
      </c>
      <c r="H78" s="6">
        <v>4.3000000000000009E-3</v>
      </c>
    </row>
    <row r="79" spans="1:11" x14ac:dyDescent="0.35">
      <c r="B79" s="5" t="s">
        <v>26</v>
      </c>
      <c r="C79" s="6">
        <v>0.39389999999999997</v>
      </c>
      <c r="D79" s="6">
        <v>0.16819153141921137</v>
      </c>
      <c r="E79" s="6">
        <v>6.948150083231798E-2</v>
      </c>
      <c r="F79" s="6">
        <v>0.27217476723469292</v>
      </c>
      <c r="G79" s="6">
        <v>9.0891922432780187E-2</v>
      </c>
      <c r="H79" s="6">
        <v>5.340394370663473E-3</v>
      </c>
      <c r="J79" s="35"/>
      <c r="K79" s="37"/>
    </row>
    <row r="80" spans="1:11" x14ac:dyDescent="0.35">
      <c r="B80" s="5" t="s">
        <v>15</v>
      </c>
      <c r="C80" s="6">
        <v>0.40130000000000005</v>
      </c>
      <c r="D80" s="6">
        <v>0.168819153141921</v>
      </c>
      <c r="E80" s="6">
        <v>6.5699999999999995E-2</v>
      </c>
      <c r="F80" s="6">
        <v>0.268421747672346</v>
      </c>
      <c r="G80" s="6">
        <v>9.0999999999999998E-2</v>
      </c>
      <c r="H80" s="6">
        <v>4.84039437066347E-3</v>
      </c>
      <c r="J80" s="35"/>
      <c r="K80" s="37"/>
    </row>
    <row r="81" spans="1:11" x14ac:dyDescent="0.35">
      <c r="B81" s="5" t="s">
        <v>34</v>
      </c>
      <c r="C81" s="6">
        <v>0.40475784644053114</v>
      </c>
      <c r="D81" s="6">
        <v>0.17142569639883962</v>
      </c>
      <c r="E81" s="6">
        <v>6.4171870135087739E-2</v>
      </c>
      <c r="F81" s="6">
        <v>0.26700625892611618</v>
      </c>
      <c r="G81" s="6">
        <v>8.913292085206681E-2</v>
      </c>
      <c r="H81" s="6">
        <v>3.505407247358607E-3</v>
      </c>
      <c r="J81" s="35"/>
      <c r="K81" s="37"/>
    </row>
    <row r="82" spans="1:11" x14ac:dyDescent="0.35">
      <c r="B82" s="5" t="s">
        <v>17</v>
      </c>
      <c r="C82" s="6">
        <v>0.4015524146509632</v>
      </c>
      <c r="D82" s="6">
        <v>0.17272690792137818</v>
      </c>
      <c r="E82" s="6">
        <v>6.2809373279289579E-2</v>
      </c>
      <c r="F82" s="6">
        <v>0.26554823952062484</v>
      </c>
      <c r="G82" s="6">
        <v>9.3068393069116739E-2</v>
      </c>
      <c r="H82" s="6">
        <v>4.294671558627527E-3</v>
      </c>
      <c r="J82" s="35"/>
      <c r="K82" s="37"/>
    </row>
    <row r="83" spans="1:11" x14ac:dyDescent="0.35">
      <c r="A83" s="68"/>
      <c r="B83" s="5" t="s">
        <v>37</v>
      </c>
      <c r="C83" s="6">
        <v>0.40033530760952285</v>
      </c>
      <c r="D83" s="6">
        <v>0.17469260300930908</v>
      </c>
      <c r="E83" s="6">
        <v>6.4437634287630136E-2</v>
      </c>
      <c r="F83" s="6">
        <v>0.26325177497118762</v>
      </c>
      <c r="G83" s="6">
        <v>9.2864549755960604E-2</v>
      </c>
      <c r="H83" s="6">
        <v>4.4181303663896627E-3</v>
      </c>
      <c r="J83" s="35"/>
      <c r="K83" s="37"/>
    </row>
    <row r="84" spans="1:11" ht="15" thickBot="1" x14ac:dyDescent="0.4">
      <c r="B84" s="12" t="s">
        <v>29</v>
      </c>
      <c r="C84" s="6">
        <v>0.41049999999999998</v>
      </c>
      <c r="D84" s="6">
        <v>0.16339999999999999</v>
      </c>
      <c r="E84" s="6">
        <v>6.1800000000000001E-2</v>
      </c>
      <c r="F84" s="6">
        <v>0.26640000000000003</v>
      </c>
      <c r="G84" s="6">
        <v>9.3399999999999997E-2</v>
      </c>
      <c r="H84" s="6">
        <v>1.1999999999999999E-3</v>
      </c>
      <c r="J84" s="36"/>
      <c r="K84" s="37"/>
    </row>
    <row r="85" spans="1:11" x14ac:dyDescent="0.35">
      <c r="A85" s="68"/>
      <c r="B85" s="5" t="s">
        <v>30</v>
      </c>
      <c r="C85" s="6">
        <v>0.41698337359773424</v>
      </c>
      <c r="D85" s="6">
        <v>0.16150083092535311</v>
      </c>
      <c r="E85" s="6">
        <v>6.1626511955750939E-2</v>
      </c>
      <c r="F85" s="6">
        <v>0.26494517849943888</v>
      </c>
      <c r="G85" s="6">
        <v>9.0192324876239335E-2</v>
      </c>
      <c r="H85" s="6">
        <v>4.7517801454834002E-3</v>
      </c>
    </row>
    <row r="86" spans="1:11" x14ac:dyDescent="0.35">
      <c r="A86" s="68"/>
      <c r="B86" s="5" t="s">
        <v>35</v>
      </c>
      <c r="C86" s="6">
        <v>0.4137858246866028</v>
      </c>
      <c r="D86" s="6">
        <v>0.15842320916228894</v>
      </c>
      <c r="E86" s="6">
        <v>5.7819346002152536E-2</v>
      </c>
      <c r="F86" s="6">
        <v>0.26810230712501182</v>
      </c>
      <c r="G86" s="6">
        <v>9.6678351659526041E-2</v>
      </c>
      <c r="H86" s="6">
        <v>5.1909613644178778E-3</v>
      </c>
    </row>
    <row r="87" spans="1:11" x14ac:dyDescent="0.35">
      <c r="B87" s="5" t="s">
        <v>31</v>
      </c>
      <c r="C87" s="6">
        <v>0.41409999999999997</v>
      </c>
      <c r="D87" s="6">
        <v>0.1502</v>
      </c>
      <c r="E87" s="6">
        <v>6.6600000000000006E-2</v>
      </c>
      <c r="F87" s="6">
        <v>0.26619999999999999</v>
      </c>
      <c r="G87" s="6">
        <v>9.8900000000000002E-2</v>
      </c>
      <c r="H87" s="6">
        <v>4.0000000000000001E-3</v>
      </c>
    </row>
    <row r="88" spans="1:11" x14ac:dyDescent="0.35">
      <c r="A88" s="61" t="s">
        <v>69</v>
      </c>
      <c r="B88" s="14" t="s">
        <v>39</v>
      </c>
      <c r="C88" s="9">
        <v>0.41099999999999998</v>
      </c>
      <c r="D88" s="9">
        <v>0.1522</v>
      </c>
      <c r="E88" s="9">
        <v>6.7299999999999999E-2</v>
      </c>
      <c r="F88" s="9">
        <v>0.26369999999999999</v>
      </c>
      <c r="G88" s="9">
        <v>9.7000000000000003E-2</v>
      </c>
      <c r="H88" s="9">
        <v>5.0000000000000001E-3</v>
      </c>
    </row>
    <row r="89" spans="1:11" x14ac:dyDescent="0.35">
      <c r="B89" s="5" t="s">
        <v>33</v>
      </c>
      <c r="C89" s="6">
        <v>0.41100000000000003</v>
      </c>
      <c r="D89" s="6">
        <v>0.15740000000000001</v>
      </c>
      <c r="E89" s="6">
        <v>6.6799999999999998E-2</v>
      </c>
      <c r="F89" s="6">
        <v>0.25900000000000001</v>
      </c>
      <c r="G89" s="6">
        <v>0.1002</v>
      </c>
      <c r="H89" s="6">
        <v>5.5999999999999999E-3</v>
      </c>
      <c r="I89" s="25"/>
    </row>
    <row r="90" spans="1:11" x14ac:dyDescent="0.35">
      <c r="B90" s="5" t="s">
        <v>25</v>
      </c>
      <c r="C90" s="6">
        <v>0.42759999999999998</v>
      </c>
      <c r="D90" s="6">
        <v>0.14360000000000001</v>
      </c>
      <c r="E90" s="6">
        <v>6.5099999999999991E-2</v>
      </c>
      <c r="F90" s="6">
        <v>0.25600000000000001</v>
      </c>
      <c r="G90" s="6">
        <v>0.10289999999999999</v>
      </c>
      <c r="H90" s="6">
        <v>4.7999999999999996E-3</v>
      </c>
    </row>
    <row r="91" spans="1:11" x14ac:dyDescent="0.35">
      <c r="B91" s="5" t="s">
        <v>26</v>
      </c>
      <c r="C91" s="6">
        <v>0.42700000000000005</v>
      </c>
      <c r="D91" s="6">
        <v>0.153</v>
      </c>
      <c r="E91" s="6">
        <v>6.4000000000000001E-2</v>
      </c>
      <c r="F91" s="6">
        <v>0.25600000000000001</v>
      </c>
      <c r="G91" s="6">
        <v>9.5000000000000001E-2</v>
      </c>
      <c r="H91" s="6">
        <v>5.0000000000000001E-3</v>
      </c>
    </row>
    <row r="92" spans="1:11" x14ac:dyDescent="0.35">
      <c r="B92" s="5" t="s">
        <v>15</v>
      </c>
      <c r="C92" s="6">
        <v>0.41420000000000001</v>
      </c>
      <c r="D92" s="6">
        <v>0.15770000000000001</v>
      </c>
      <c r="E92" s="6">
        <v>6.2699999999999992E-2</v>
      </c>
      <c r="F92" s="6">
        <v>0.26100000000000001</v>
      </c>
      <c r="G92" s="6">
        <v>9.9600000000000008E-2</v>
      </c>
      <c r="H92" s="6">
        <v>4.7000000000000002E-3</v>
      </c>
    </row>
    <row r="93" spans="1:11" x14ac:dyDescent="0.35">
      <c r="B93" s="5" t="s">
        <v>34</v>
      </c>
      <c r="C93" s="6">
        <v>0.40179999999999999</v>
      </c>
      <c r="D93" s="6">
        <v>0.15770000000000001</v>
      </c>
      <c r="E93" s="6">
        <v>6.3500000000000001E-2</v>
      </c>
      <c r="F93" s="6">
        <v>0.26170000000000004</v>
      </c>
      <c r="G93" s="6">
        <v>0.1108</v>
      </c>
      <c r="H93" s="6">
        <v>4.4999999999999997E-3</v>
      </c>
    </row>
    <row r="94" spans="1:11" x14ac:dyDescent="0.35">
      <c r="B94" s="5" t="s">
        <v>27</v>
      </c>
      <c r="C94" s="6">
        <v>0.4007</v>
      </c>
      <c r="D94" s="6">
        <v>0.1615</v>
      </c>
      <c r="E94" s="6">
        <v>6.5299999999999997E-2</v>
      </c>
      <c r="F94" s="6">
        <v>0.25829999999999997</v>
      </c>
      <c r="G94" s="6">
        <v>0.10979999999999999</v>
      </c>
      <c r="H94" s="6">
        <v>4.5999999999999999E-3</v>
      </c>
    </row>
    <row r="95" spans="1:11" x14ac:dyDescent="0.35">
      <c r="B95" s="5" t="s">
        <v>37</v>
      </c>
      <c r="C95" s="6">
        <v>0.39700000000000002</v>
      </c>
      <c r="D95" s="6">
        <v>0.159</v>
      </c>
      <c r="E95" s="6">
        <v>6.5000000000000002E-2</v>
      </c>
      <c r="F95" s="6">
        <v>0.25800000000000001</v>
      </c>
      <c r="G95" s="6">
        <v>0.11600000000000001</v>
      </c>
      <c r="H95" s="6">
        <v>5.0000000000000001E-3</v>
      </c>
    </row>
    <row r="96" spans="1:11" x14ac:dyDescent="0.35">
      <c r="B96" s="5" t="s">
        <v>29</v>
      </c>
      <c r="C96" s="6">
        <v>0.39399999999999996</v>
      </c>
      <c r="D96" s="6">
        <v>0.159</v>
      </c>
      <c r="E96" s="6">
        <v>6.5000000000000002E-2</v>
      </c>
      <c r="F96" s="6">
        <v>0.26</v>
      </c>
      <c r="G96" s="6">
        <v>0.11800000000000001</v>
      </c>
      <c r="H96" s="6">
        <v>4.0000000000000001E-3</v>
      </c>
    </row>
    <row r="97" spans="1:8" x14ac:dyDescent="0.35">
      <c r="B97" s="5" t="s">
        <v>30</v>
      </c>
      <c r="C97" s="6">
        <v>0.38100000000000001</v>
      </c>
      <c r="D97" s="6">
        <v>0.159</v>
      </c>
      <c r="E97" s="6">
        <v>6.6000000000000003E-2</v>
      </c>
      <c r="F97" s="6">
        <v>0.25900000000000001</v>
      </c>
      <c r="G97" s="6">
        <v>0.13100000000000001</v>
      </c>
      <c r="H97" s="6">
        <v>4.0000000000000001E-3</v>
      </c>
    </row>
    <row r="98" spans="1:8" x14ac:dyDescent="0.35">
      <c r="B98" s="5" t="s">
        <v>35</v>
      </c>
      <c r="C98" s="6">
        <v>0.38299999999999995</v>
      </c>
      <c r="D98" s="6">
        <v>0.16</v>
      </c>
      <c r="E98" s="6">
        <v>6.3E-2</v>
      </c>
      <c r="F98" s="6">
        <v>0.25600000000000001</v>
      </c>
      <c r="G98" s="6">
        <v>0.13400000000000001</v>
      </c>
      <c r="H98" s="6">
        <v>4.0000000000000001E-3</v>
      </c>
    </row>
    <row r="99" spans="1:8" x14ac:dyDescent="0.35">
      <c r="B99" s="38" t="s">
        <v>31</v>
      </c>
      <c r="C99" s="6">
        <v>0.377</v>
      </c>
      <c r="D99" s="6">
        <v>0.161</v>
      </c>
      <c r="E99" s="6">
        <v>6.4000000000000001E-2</v>
      </c>
      <c r="F99" s="6">
        <v>0.25800000000000001</v>
      </c>
      <c r="G99" s="6">
        <v>0.13600000000000001</v>
      </c>
      <c r="H99" s="6">
        <v>4.0000000000000001E-3</v>
      </c>
    </row>
    <row r="100" spans="1:8" x14ac:dyDescent="0.35">
      <c r="A100" s="61" t="s">
        <v>70</v>
      </c>
      <c r="B100" s="14" t="s">
        <v>39</v>
      </c>
      <c r="C100" s="9">
        <v>0.38400000000000001</v>
      </c>
      <c r="D100" s="9">
        <v>0.16300000000000001</v>
      </c>
      <c r="E100" s="9">
        <v>6.5000000000000002E-2</v>
      </c>
      <c r="F100" s="9">
        <v>0.25700000000000001</v>
      </c>
      <c r="G100" s="9">
        <v>0.127</v>
      </c>
      <c r="H100" s="9">
        <v>4.0000000000000001E-3</v>
      </c>
    </row>
    <row r="101" spans="1:8" x14ac:dyDescent="0.35">
      <c r="B101" s="5" t="s">
        <v>33</v>
      </c>
      <c r="C101" s="6">
        <v>0.38863296727958246</v>
      </c>
      <c r="D101" s="6">
        <v>0.16450052955925618</v>
      </c>
      <c r="E101" s="6">
        <v>6.4202718785961316E-2</v>
      </c>
      <c r="F101" s="6">
        <v>0.25444627478408433</v>
      </c>
      <c r="G101" s="6">
        <v>0.12388378845835761</v>
      </c>
      <c r="H101" s="6">
        <v>4.3337211327580307E-3</v>
      </c>
    </row>
    <row r="102" spans="1:8" x14ac:dyDescent="0.35">
      <c r="B102" s="5" t="s">
        <v>25</v>
      </c>
      <c r="C102" s="6">
        <v>0.38852669180968125</v>
      </c>
      <c r="D102" s="6">
        <v>0.16922449981816459</v>
      </c>
      <c r="E102" s="6">
        <v>6.3200489684658079E-2</v>
      </c>
      <c r="F102" s="6">
        <v>0.2531169703596286</v>
      </c>
      <c r="G102" s="6">
        <v>0.12171138220690293</v>
      </c>
      <c r="H102" s="6">
        <v>4.2199661209646215E-3</v>
      </c>
    </row>
    <row r="103" spans="1:8" x14ac:dyDescent="0.35">
      <c r="B103" s="5" t="s">
        <v>26</v>
      </c>
      <c r="C103" s="6">
        <v>0.39224113934115168</v>
      </c>
      <c r="D103" s="6">
        <v>0.16313495370310338</v>
      </c>
      <c r="E103" s="6">
        <v>6.40623560791998E-2</v>
      </c>
      <c r="F103" s="6">
        <v>0.25256681435313366</v>
      </c>
      <c r="G103" s="6">
        <v>0.12385202499930334</v>
      </c>
      <c r="H103" s="6">
        <v>4.1427115241081417E-3</v>
      </c>
    </row>
    <row r="104" spans="1:8" x14ac:dyDescent="0.35">
      <c r="B104" s="5" t="s">
        <v>15</v>
      </c>
      <c r="C104" s="6">
        <v>0.38691464603776399</v>
      </c>
      <c r="D104" s="6">
        <v>0.17071033085360524</v>
      </c>
      <c r="E104" s="6">
        <v>6.465215020084869E-2</v>
      </c>
      <c r="F104" s="6">
        <v>0.25170256872902835</v>
      </c>
      <c r="G104" s="6">
        <v>0.12168347424992902</v>
      </c>
      <c r="H104" s="6">
        <v>4.3368299288246434E-3</v>
      </c>
    </row>
    <row r="105" spans="1:8" x14ac:dyDescent="0.35">
      <c r="B105" s="5" t="s">
        <v>34</v>
      </c>
      <c r="C105" s="6">
        <v>0.38487601517028064</v>
      </c>
      <c r="D105" s="6">
        <v>0.17251402693296897</v>
      </c>
      <c r="E105" s="6">
        <v>6.6022426942059897E-2</v>
      </c>
      <c r="F105" s="6">
        <v>0.24999794843792997</v>
      </c>
      <c r="G105" s="6">
        <v>0.12229831585245279</v>
      </c>
      <c r="H105" s="6">
        <v>4.291266664307695E-3</v>
      </c>
    </row>
    <row r="106" spans="1:8" x14ac:dyDescent="0.35">
      <c r="B106" s="5" t="s">
        <v>27</v>
      </c>
      <c r="C106" s="6">
        <v>0.37898577446448334</v>
      </c>
      <c r="D106" s="6">
        <v>0.17561594734824224</v>
      </c>
      <c r="E106" s="6">
        <v>6.6920989910454073E-2</v>
      </c>
      <c r="F106" s="6">
        <v>0.24983709883477828</v>
      </c>
      <c r="G106" s="6">
        <v>0.12213975305945281</v>
      </c>
      <c r="H106" s="6">
        <v>6.5004363825893214E-3</v>
      </c>
    </row>
    <row r="107" spans="1:8" x14ac:dyDescent="0.35">
      <c r="B107" s="5" t="s">
        <v>37</v>
      </c>
      <c r="C107" s="6">
        <v>0.37338326564350133</v>
      </c>
      <c r="D107" s="6">
        <v>0.16846335447340613</v>
      </c>
      <c r="E107" s="6">
        <v>6.7077026482723567E-2</v>
      </c>
      <c r="F107" s="6">
        <v>0.25194553982506745</v>
      </c>
      <c r="G107" s="6">
        <v>0.13209500534135593</v>
      </c>
      <c r="H107" s="6">
        <v>7.0358082339455601E-3</v>
      </c>
    </row>
    <row r="108" spans="1:8" x14ac:dyDescent="0.35">
      <c r="B108" s="5" t="s">
        <v>29</v>
      </c>
      <c r="C108" s="6">
        <v>0.36904536133195648</v>
      </c>
      <c r="D108" s="6">
        <v>0.17392723940779112</v>
      </c>
      <c r="E108" s="6">
        <v>6.6529202823282424E-2</v>
      </c>
      <c r="F108" s="6">
        <v>0.25048722335886392</v>
      </c>
      <c r="G108" s="6">
        <v>0.13453114326447665</v>
      </c>
      <c r="H108" s="6">
        <v>5.479829813629487E-3</v>
      </c>
    </row>
    <row r="109" spans="1:8" x14ac:dyDescent="0.35">
      <c r="B109" s="5" t="s">
        <v>30</v>
      </c>
      <c r="C109" s="6">
        <v>0.36929415699069928</v>
      </c>
      <c r="D109" s="6">
        <v>0.1700081193424508</v>
      </c>
      <c r="E109" s="6">
        <v>6.5461307526196222E-2</v>
      </c>
      <c r="F109" s="6">
        <v>0.25059868951315756</v>
      </c>
      <c r="G109" s="6">
        <v>0.13975581061328399</v>
      </c>
      <c r="H109" s="6">
        <v>4.8819160142120639E-3</v>
      </c>
    </row>
    <row r="110" spans="1:8" x14ac:dyDescent="0.35">
      <c r="B110" s="5" t="s">
        <v>35</v>
      </c>
      <c r="C110" s="6">
        <v>0.36426083725673319</v>
      </c>
      <c r="D110" s="6">
        <v>0.17265444806762181</v>
      </c>
      <c r="E110" s="6">
        <v>6.3718461949181446E-2</v>
      </c>
      <c r="F110" s="6">
        <v>0.24909891814776697</v>
      </c>
      <c r="G110" s="6">
        <v>0.14455822329684404</v>
      </c>
      <c r="H110" s="6">
        <v>5.7091112818524895E-3</v>
      </c>
    </row>
    <row r="111" spans="1:8" x14ac:dyDescent="0.35">
      <c r="B111" s="5" t="s">
        <v>31</v>
      </c>
      <c r="C111" s="6">
        <v>0.37145719619085771</v>
      </c>
      <c r="D111" s="6">
        <v>0.16674050202279855</v>
      </c>
      <c r="E111" s="6">
        <v>6.0823655901291483E-2</v>
      </c>
      <c r="F111" s="6">
        <v>0.24868625999446711</v>
      </c>
      <c r="G111" s="6">
        <v>0.1469393670289961</v>
      </c>
      <c r="H111" s="6">
        <v>5.3530188615890876E-3</v>
      </c>
    </row>
    <row r="112" spans="1:8" x14ac:dyDescent="0.35">
      <c r="A112" s="61" t="s">
        <v>73</v>
      </c>
      <c r="B112" s="14" t="s">
        <v>39</v>
      </c>
      <c r="C112" s="9">
        <v>0.37335247716802117</v>
      </c>
      <c r="D112" s="9">
        <v>0.16825672538608402</v>
      </c>
      <c r="E112" s="9">
        <v>6.0815189329798611E-2</v>
      </c>
      <c r="F112" s="9">
        <v>0.2465323392952557</v>
      </c>
      <c r="G112" s="9">
        <v>0.14539396916653391</v>
      </c>
      <c r="H112" s="9">
        <v>5.6492996543066904E-3</v>
      </c>
    </row>
    <row r="113" spans="1:8" x14ac:dyDescent="0.35">
      <c r="B113" s="5" t="s">
        <v>33</v>
      </c>
      <c r="C113" s="6">
        <v>0.36923604234760909</v>
      </c>
      <c r="D113" s="6">
        <v>0.16910468220798233</v>
      </c>
      <c r="E113" s="6">
        <v>6.3102843470130954E-2</v>
      </c>
      <c r="F113" s="6">
        <v>0.24543098712859077</v>
      </c>
      <c r="G113" s="6">
        <v>0.14690924240537537</v>
      </c>
      <c r="H113" s="6">
        <v>6.216202440311693E-3</v>
      </c>
    </row>
    <row r="114" spans="1:8" x14ac:dyDescent="0.35">
      <c r="B114" s="5" t="s">
        <v>25</v>
      </c>
      <c r="C114" s="6">
        <v>0.33954335450898671</v>
      </c>
      <c r="D114" s="6">
        <v>0.18954788594421759</v>
      </c>
      <c r="E114" s="6">
        <v>5.8956888791763848E-2</v>
      </c>
      <c r="F114" s="6">
        <v>0.2491124810304132</v>
      </c>
      <c r="G114" s="6">
        <v>0.15612135925895207</v>
      </c>
      <c r="H114" s="6">
        <v>6.7180304656667012E-3</v>
      </c>
    </row>
    <row r="115" spans="1:8" x14ac:dyDescent="0.35">
      <c r="B115" s="5" t="s">
        <v>26</v>
      </c>
      <c r="C115" s="6">
        <v>0.32657958831632505</v>
      </c>
      <c r="D115" s="6">
        <v>0.20120124158015631</v>
      </c>
      <c r="E115" s="6">
        <v>6.1746233494753493E-2</v>
      </c>
      <c r="F115" s="6">
        <v>0.24604722484677316</v>
      </c>
      <c r="G115" s="6">
        <v>0.15717353727876246</v>
      </c>
      <c r="H115" s="6">
        <v>7.2521744832296786E-3</v>
      </c>
    </row>
    <row r="116" spans="1:8" x14ac:dyDescent="0.35">
      <c r="B116" s="5" t="s">
        <v>15</v>
      </c>
      <c r="C116" s="6">
        <v>0.31529422188160477</v>
      </c>
      <c r="D116" s="6">
        <v>0.20567351970722558</v>
      </c>
      <c r="E116" s="6">
        <v>6.566244955582419E-2</v>
      </c>
      <c r="F116" s="6">
        <v>0.23702828234552911</v>
      </c>
      <c r="G116" s="6">
        <v>0.1688151864905604</v>
      </c>
      <c r="H116" s="6">
        <v>7.526340019255894E-3</v>
      </c>
    </row>
    <row r="117" spans="1:8" x14ac:dyDescent="0.35">
      <c r="B117" s="5" t="s">
        <v>34</v>
      </c>
      <c r="C117" s="6">
        <v>0.30603300649611087</v>
      </c>
      <c r="D117" s="6">
        <v>0.22122567754701733</v>
      </c>
      <c r="E117" s="6">
        <v>6.4756578070748735E-2</v>
      </c>
      <c r="F117" s="6">
        <v>0.23253264210592844</v>
      </c>
      <c r="G117" s="6">
        <v>0.16798490199451524</v>
      </c>
      <c r="H117" s="6">
        <v>7.4671937856793207E-3</v>
      </c>
    </row>
    <row r="118" spans="1:8" x14ac:dyDescent="0.35">
      <c r="B118" s="5" t="s">
        <v>27</v>
      </c>
      <c r="C118" s="6">
        <v>0.30091897468943452</v>
      </c>
      <c r="D118" s="6">
        <v>0.22577578234924936</v>
      </c>
      <c r="E118" s="6">
        <v>6.34972893586217E-2</v>
      </c>
      <c r="F118" s="6">
        <v>0.23055619030022334</v>
      </c>
      <c r="G118" s="6">
        <v>0.17010385623554233</v>
      </c>
      <c r="H118" s="6">
        <v>9.1479070669288169E-3</v>
      </c>
    </row>
    <row r="119" spans="1:8" x14ac:dyDescent="0.35">
      <c r="B119" s="5" t="s">
        <v>37</v>
      </c>
      <c r="C119" s="6">
        <v>0.29935367083824527</v>
      </c>
      <c r="D119" s="6">
        <v>0.22290465546386348</v>
      </c>
      <c r="E119" s="6">
        <v>6.6539828562976244E-2</v>
      </c>
      <c r="F119" s="6">
        <v>0.2249462183607274</v>
      </c>
      <c r="G119" s="6">
        <v>0.17652160578464776</v>
      </c>
      <c r="H119" s="6">
        <v>9.7340209895399772E-3</v>
      </c>
    </row>
    <row r="120" spans="1:8" x14ac:dyDescent="0.35">
      <c r="B120" s="5" t="s">
        <v>29</v>
      </c>
      <c r="C120" s="6">
        <v>0.29179555897535114</v>
      </c>
      <c r="D120" s="6">
        <v>0.22856628681997218</v>
      </c>
      <c r="E120" s="6">
        <v>7.0231318945262008E-2</v>
      </c>
      <c r="F120" s="6">
        <v>0.22389873762022142</v>
      </c>
      <c r="G120" s="6">
        <v>0.1752408962406746</v>
      </c>
      <c r="H120" s="6">
        <v>1.0267201398518808E-2</v>
      </c>
    </row>
    <row r="121" spans="1:8" x14ac:dyDescent="0.35">
      <c r="B121" s="5" t="s">
        <v>30</v>
      </c>
      <c r="C121" s="6">
        <v>0.28964788523664614</v>
      </c>
      <c r="D121" s="6">
        <v>0.22555359467595765</v>
      </c>
      <c r="E121" s="6">
        <v>6.9887187602644646E-2</v>
      </c>
      <c r="F121" s="6">
        <v>0.22631297894066824</v>
      </c>
      <c r="G121" s="6">
        <v>0.17773242972877074</v>
      </c>
      <c r="H121" s="6">
        <v>1.0865923815312786E-2</v>
      </c>
    </row>
    <row r="122" spans="1:8" x14ac:dyDescent="0.35">
      <c r="B122" s="5" t="s">
        <v>35</v>
      </c>
      <c r="C122" s="6">
        <v>0.29697772256960381</v>
      </c>
      <c r="D122" s="6">
        <v>0.21820673777288113</v>
      </c>
      <c r="E122" s="6">
        <v>7.0458699999130153E-2</v>
      </c>
      <c r="F122" s="6">
        <v>0.2271698404325895</v>
      </c>
      <c r="G122" s="6">
        <v>0.17590123395515303</v>
      </c>
      <c r="H122" s="6">
        <v>1.1285765270642354E-2</v>
      </c>
    </row>
    <row r="123" spans="1:8" x14ac:dyDescent="0.35">
      <c r="B123" s="5" t="s">
        <v>31</v>
      </c>
      <c r="C123" s="6">
        <v>0.29945211210618677</v>
      </c>
      <c r="D123" s="6">
        <v>0.22015196915377688</v>
      </c>
      <c r="E123" s="6">
        <v>6.9904962400659951E-2</v>
      </c>
      <c r="F123" s="6">
        <v>0.2236226529959594</v>
      </c>
      <c r="G123" s="6">
        <v>0.17576086487376397</v>
      </c>
      <c r="H123" s="6">
        <v>1.1107438469652994E-2</v>
      </c>
    </row>
    <row r="124" spans="1:8" x14ac:dyDescent="0.35">
      <c r="A124" s="61" t="s">
        <v>74</v>
      </c>
      <c r="B124" s="14" t="s">
        <v>39</v>
      </c>
      <c r="C124" s="9">
        <v>0.30240674502988668</v>
      </c>
      <c r="D124" s="9">
        <v>0.21600262713240709</v>
      </c>
      <c r="E124" s="9">
        <v>7.1216103525130442E-2</v>
      </c>
      <c r="F124" s="9">
        <v>0.22278410654158126</v>
      </c>
      <c r="G124" s="9">
        <v>0.17650312203825216</v>
      </c>
      <c r="H124" s="9">
        <v>1.1087295732742381E-2</v>
      </c>
    </row>
    <row r="125" spans="1:8" x14ac:dyDescent="0.35">
      <c r="B125" s="12" t="s">
        <v>33</v>
      </c>
      <c r="C125" s="6">
        <v>0.30312171153565076</v>
      </c>
      <c r="D125" s="6">
        <v>0.21318284415377778</v>
      </c>
      <c r="E125" s="6">
        <v>7.2881164936456994E-2</v>
      </c>
      <c r="F125" s="6">
        <v>0.22346680222765372</v>
      </c>
      <c r="G125" s="6">
        <v>0.17553748313317144</v>
      </c>
      <c r="H125" s="6">
        <v>1.1809994013289209E-2</v>
      </c>
    </row>
    <row r="126" spans="1:8" x14ac:dyDescent="0.35">
      <c r="B126" s="5" t="s">
        <v>25</v>
      </c>
      <c r="C126" s="6">
        <v>0.29332564172114661</v>
      </c>
      <c r="D126" s="6">
        <v>0.22687885711765543</v>
      </c>
      <c r="E126" s="6">
        <v>7.2779106244661676E-2</v>
      </c>
      <c r="F126" s="6">
        <v>0.22606897013001009</v>
      </c>
      <c r="G126" s="6">
        <v>0.1700191381162498</v>
      </c>
      <c r="H126" s="6">
        <v>1.0928286670276323E-2</v>
      </c>
    </row>
    <row r="127" spans="1:8" x14ac:dyDescent="0.35">
      <c r="B127" s="5" t="s">
        <v>26</v>
      </c>
      <c r="C127" s="6">
        <v>0.29886176684937504</v>
      </c>
      <c r="D127" s="6">
        <v>0.21228275020506213</v>
      </c>
      <c r="E127" s="6">
        <v>7.3838158140169655E-2</v>
      </c>
      <c r="F127" s="6">
        <v>0.22738021505084552</v>
      </c>
      <c r="G127" s="6">
        <v>0.17576388898860945</v>
      </c>
      <c r="H127" s="6">
        <v>1.1873220765938202E-2</v>
      </c>
    </row>
    <row r="128" spans="1:8" x14ac:dyDescent="0.35">
      <c r="B128" s="5" t="s">
        <v>15</v>
      </c>
      <c r="C128" s="6">
        <v>0.30501456652209902</v>
      </c>
      <c r="D128" s="6">
        <v>0.20957703228174623</v>
      </c>
      <c r="E128" s="6">
        <v>7.2762911090882884E-2</v>
      </c>
      <c r="F128" s="6">
        <v>0.22646413767057241</v>
      </c>
      <c r="G128" s="6">
        <v>0.17060595465478334</v>
      </c>
      <c r="H128" s="6">
        <v>1.5575397779915973E-2</v>
      </c>
    </row>
    <row r="129" spans="1:10" x14ac:dyDescent="0.35">
      <c r="B129" s="5" t="s">
        <v>34</v>
      </c>
      <c r="C129" s="6">
        <v>0.30133243740435472</v>
      </c>
      <c r="D129" s="6">
        <v>0.20680627801135981</v>
      </c>
      <c r="E129" s="6">
        <v>7.168138586535093E-2</v>
      </c>
      <c r="F129" s="6">
        <v>0.22895935180995985</v>
      </c>
      <c r="G129" s="6">
        <v>0.17583415513388248</v>
      </c>
      <c r="H129" s="6">
        <v>1.5386391775092144E-2</v>
      </c>
    </row>
    <row r="130" spans="1:10" x14ac:dyDescent="0.35">
      <c r="B130" s="5" t="s">
        <v>27</v>
      </c>
      <c r="C130" s="6">
        <v>0.29560353510169662</v>
      </c>
      <c r="D130" s="6">
        <v>0.20984427216920276</v>
      </c>
      <c r="E130" s="6">
        <v>7.0840480790433966E-2</v>
      </c>
      <c r="F130" s="6">
        <v>0.23005620242500038</v>
      </c>
      <c r="G130" s="6">
        <v>0.17975960717317549</v>
      </c>
      <c r="H130" s="6">
        <v>1.3895902340490733E-2</v>
      </c>
    </row>
    <row r="131" spans="1:10" x14ac:dyDescent="0.35">
      <c r="B131" s="5" t="s">
        <v>37</v>
      </c>
      <c r="C131" s="6">
        <v>0.29754050116657754</v>
      </c>
      <c r="D131" s="6">
        <v>0.19943845334796692</v>
      </c>
      <c r="E131" s="6">
        <v>7.2448462849362905E-2</v>
      </c>
      <c r="F131" s="6">
        <v>0.22892474206283753</v>
      </c>
      <c r="G131" s="6">
        <v>0.18639011270507305</v>
      </c>
      <c r="H131" s="6">
        <v>1.5257727868181997E-2</v>
      </c>
    </row>
    <row r="132" spans="1:10" x14ac:dyDescent="0.35">
      <c r="B132" s="5" t="s">
        <v>29</v>
      </c>
      <c r="C132" s="6">
        <v>0.28961214030591204</v>
      </c>
      <c r="D132" s="6">
        <v>0.19722762741526134</v>
      </c>
      <c r="E132" s="6">
        <v>7.3653127214048611E-2</v>
      </c>
      <c r="F132" s="6">
        <v>0.22959043158640818</v>
      </c>
      <c r="G132" s="6">
        <v>0.19440857669413161</v>
      </c>
      <c r="H132" s="6">
        <v>1.5508096784238128E-2</v>
      </c>
    </row>
    <row r="133" spans="1:10" x14ac:dyDescent="0.35">
      <c r="B133" s="5" t="s">
        <v>30</v>
      </c>
      <c r="C133" s="6">
        <v>0.28396721748664294</v>
      </c>
      <c r="D133" s="6">
        <v>0.1994339226237995</v>
      </c>
      <c r="E133" s="6">
        <v>7.2439424708625633E-2</v>
      </c>
      <c r="F133" s="6">
        <v>0.23176271282035343</v>
      </c>
      <c r="G133" s="6">
        <v>0.19628174396501105</v>
      </c>
      <c r="H133" s="6">
        <v>1.6114978395567432E-2</v>
      </c>
    </row>
    <row r="134" spans="1:10" x14ac:dyDescent="0.35">
      <c r="B134" s="5" t="s">
        <v>35</v>
      </c>
      <c r="C134" s="6">
        <v>0.28215795880469224</v>
      </c>
      <c r="D134" s="6">
        <v>0.19904891257530019</v>
      </c>
      <c r="E134" s="6">
        <v>6.7312149635161606E-2</v>
      </c>
      <c r="F134" s="6">
        <v>0.23631717559254778</v>
      </c>
      <c r="G134" s="6">
        <v>0.19953374291821052</v>
      </c>
      <c r="H134" s="6">
        <v>1.5630060474087576E-2</v>
      </c>
    </row>
    <row r="135" spans="1:10" x14ac:dyDescent="0.35">
      <c r="B135" s="5" t="s">
        <v>31</v>
      </c>
      <c r="C135" s="6">
        <v>0.28178536087797479</v>
      </c>
      <c r="D135" s="6">
        <v>0.20053233635414361</v>
      </c>
      <c r="E135" s="6">
        <v>6.5663275472377172E-2</v>
      </c>
      <c r="F135" s="6">
        <v>0.23487748192931943</v>
      </c>
      <c r="G135" s="6">
        <v>0.20117046762208779</v>
      </c>
      <c r="H135" s="6">
        <v>1.5971077744097398E-2</v>
      </c>
    </row>
    <row r="136" spans="1:10" x14ac:dyDescent="0.35">
      <c r="A136" s="61" t="s">
        <v>75</v>
      </c>
      <c r="B136" s="14" t="s">
        <v>39</v>
      </c>
      <c r="C136" s="9">
        <v>0.28391706785469817</v>
      </c>
      <c r="D136" s="9">
        <v>0.19418550807511084</v>
      </c>
      <c r="E136" s="9">
        <v>6.5005852377186382E-2</v>
      </c>
      <c r="F136" s="9">
        <v>0.23445909156892328</v>
      </c>
      <c r="G136" s="9">
        <v>0.2060343292305577</v>
      </c>
      <c r="H136" s="9">
        <v>1.6398150893523769E-2</v>
      </c>
    </row>
    <row r="137" spans="1:10" x14ac:dyDescent="0.35">
      <c r="B137" s="5" t="s">
        <v>33</v>
      </c>
      <c r="C137" s="6">
        <v>0.29081600298137505</v>
      </c>
      <c r="D137" s="6">
        <v>0.18969371984003658</v>
      </c>
      <c r="E137" s="6">
        <v>6.471463738380101E-2</v>
      </c>
      <c r="F137" s="6">
        <v>0.2346925497114293</v>
      </c>
      <c r="G137" s="6">
        <v>0.20467826677119369</v>
      </c>
      <c r="H137" s="6">
        <v>1.5404823312164381E-2</v>
      </c>
    </row>
    <row r="138" spans="1:10" x14ac:dyDescent="0.35">
      <c r="B138" s="5" t="s">
        <v>25</v>
      </c>
      <c r="C138" s="6">
        <v>0.28559582424361096</v>
      </c>
      <c r="D138" s="6">
        <v>0.18943516749516889</v>
      </c>
      <c r="E138" s="6">
        <v>6.5210775957713643E-2</v>
      </c>
      <c r="F138" s="6">
        <v>0.23806449307654101</v>
      </c>
      <c r="G138" s="6">
        <v>0.20684881266799524</v>
      </c>
      <c r="H138" s="6">
        <v>1.4844926558970274E-2</v>
      </c>
    </row>
    <row r="139" spans="1:10" x14ac:dyDescent="0.35">
      <c r="B139" s="5" t="s">
        <v>26</v>
      </c>
      <c r="C139" s="6">
        <v>0.28394370865512547</v>
      </c>
      <c r="D139" s="6">
        <v>0.19178571400966976</v>
      </c>
      <c r="E139" s="6">
        <v>6.4222798005125287E-2</v>
      </c>
      <c r="F139" s="6">
        <v>0.24076842827234957</v>
      </c>
      <c r="G139" s="6">
        <v>0.20021587609376315</v>
      </c>
      <c r="H139" s="6">
        <v>1.9063474963966726E-2</v>
      </c>
      <c r="J139" s="56"/>
    </row>
    <row r="140" spans="1:10" x14ac:dyDescent="0.35">
      <c r="B140" s="5" t="s">
        <v>15</v>
      </c>
      <c r="C140" s="6">
        <v>0.28097017112873585</v>
      </c>
      <c r="D140" s="6">
        <v>0.18642989753194136</v>
      </c>
      <c r="E140" s="6">
        <v>6.3481556184963303E-2</v>
      </c>
      <c r="F140" s="6">
        <v>0.24185923026205533</v>
      </c>
      <c r="G140" s="6">
        <v>0.20845188672253012</v>
      </c>
      <c r="H140" s="6">
        <v>1.8807258169773987E-2</v>
      </c>
    </row>
    <row r="141" spans="1:10" x14ac:dyDescent="0.35">
      <c r="B141" s="5" t="s">
        <v>34</v>
      </c>
      <c r="C141" s="6">
        <v>0.27415637130031362</v>
      </c>
      <c r="D141" s="6">
        <v>0.18905150305649582</v>
      </c>
      <c r="E141" s="6">
        <v>6.5306033355783874E-2</v>
      </c>
      <c r="F141" s="6">
        <v>0.24010711658271541</v>
      </c>
      <c r="G141" s="6">
        <v>0.21470268975867438</v>
      </c>
      <c r="H141" s="6">
        <v>1.6676285946016868E-2</v>
      </c>
    </row>
    <row r="142" spans="1:10" x14ac:dyDescent="0.35">
      <c r="B142" s="5" t="s">
        <v>27</v>
      </c>
      <c r="C142" s="6">
        <v>0.26495344317152603</v>
      </c>
      <c r="D142" s="6">
        <v>0.20226857465051984</v>
      </c>
      <c r="E142" s="6">
        <v>6.5541206286431869E-2</v>
      </c>
      <c r="F142" s="6">
        <v>0.23855597267793577</v>
      </c>
      <c r="G142" s="6">
        <v>0.21156679138704176</v>
      </c>
      <c r="H142" s="6">
        <v>1.7114011826544654E-2</v>
      </c>
    </row>
    <row r="143" spans="1:10" x14ac:dyDescent="0.35">
      <c r="B143" s="5" t="s">
        <v>37</v>
      </c>
      <c r="C143" s="6">
        <v>0.27290424318648399</v>
      </c>
      <c r="D143" s="6">
        <v>0.19427378263832346</v>
      </c>
      <c r="E143" s="6">
        <v>6.400200268857846E-2</v>
      </c>
      <c r="F143" s="6">
        <v>0.23610692388115892</v>
      </c>
      <c r="G143" s="6">
        <v>0.21496573179844741</v>
      </c>
      <c r="H143" s="6">
        <v>1.7747315807007735E-2</v>
      </c>
    </row>
    <row r="144" spans="1:10" x14ac:dyDescent="0.35">
      <c r="B144" s="5" t="s">
        <v>29</v>
      </c>
      <c r="C144" s="6">
        <v>0.26780533902178755</v>
      </c>
      <c r="D144" s="6">
        <v>0.20268696079595225</v>
      </c>
      <c r="E144" s="6">
        <v>6.2526160733844871E-2</v>
      </c>
      <c r="F144" s="6">
        <v>0.23603007212598215</v>
      </c>
      <c r="G144" s="6">
        <v>0.21265279329034009</v>
      </c>
      <c r="H144" s="6">
        <v>1.8298674032093072E-2</v>
      </c>
    </row>
    <row r="145" spans="1:8" x14ac:dyDescent="0.35">
      <c r="B145" s="5" t="s">
        <v>30</v>
      </c>
      <c r="C145" s="6">
        <v>0.26192020683397166</v>
      </c>
      <c r="D145" s="6">
        <v>0.20365189043416099</v>
      </c>
      <c r="E145" s="6">
        <v>6.2468682701779257E-2</v>
      </c>
      <c r="F145" s="6">
        <v>0.23334984142102291</v>
      </c>
      <c r="G145" s="6">
        <v>0.22124878503089659</v>
      </c>
      <c r="H145" s="6">
        <v>1.7360593578168385E-2</v>
      </c>
    </row>
    <row r="146" spans="1:8" x14ac:dyDescent="0.35">
      <c r="B146" s="5" t="s">
        <v>35</v>
      </c>
      <c r="C146" s="6">
        <v>0.26156821354967968</v>
      </c>
      <c r="D146" s="6">
        <v>0.20077046002781615</v>
      </c>
      <c r="E146" s="6">
        <v>6.2238604435036295E-2</v>
      </c>
      <c r="F146" s="6">
        <v>0.23194971532707692</v>
      </c>
      <c r="G146" s="6">
        <v>0.21964000529743299</v>
      </c>
      <c r="H146" s="6">
        <v>2.3833001362957892E-2</v>
      </c>
    </row>
    <row r="147" spans="1:8" x14ac:dyDescent="0.35">
      <c r="B147" s="5" t="s">
        <v>31</v>
      </c>
      <c r="C147" s="6">
        <v>0.25619669758324859</v>
      </c>
      <c r="D147" s="6">
        <v>0.21451662486182962</v>
      </c>
      <c r="E147" s="6">
        <v>6.2088531898306071E-2</v>
      </c>
      <c r="F147" s="6">
        <v>0.23139703078649432</v>
      </c>
      <c r="G147" s="6">
        <v>0.21385538506820861</v>
      </c>
      <c r="H147" s="6">
        <v>2.1945729801912842E-2</v>
      </c>
    </row>
    <row r="148" spans="1:8" x14ac:dyDescent="0.35">
      <c r="A148" s="61" t="s">
        <v>77</v>
      </c>
      <c r="B148" s="14" t="s">
        <v>39</v>
      </c>
      <c r="C148" s="9">
        <v>0.26376981527368187</v>
      </c>
      <c r="D148" s="9">
        <v>0.20655828757491074</v>
      </c>
      <c r="E148" s="9">
        <v>6.3971348187361499E-2</v>
      </c>
      <c r="F148" s="9">
        <v>0.23134080447029798</v>
      </c>
      <c r="G148" s="9">
        <v>0.21619040128825537</v>
      </c>
      <c r="H148" s="9">
        <v>1.8169343205492669E-2</v>
      </c>
    </row>
    <row r="149" spans="1:8" x14ac:dyDescent="0.35">
      <c r="B149" s="5" t="s">
        <v>33</v>
      </c>
      <c r="C149" s="6">
        <v>0.25412296034686649</v>
      </c>
      <c r="D149" s="6">
        <v>0.20507083677189983</v>
      </c>
      <c r="E149" s="6">
        <v>6.4382231923341013E-2</v>
      </c>
      <c r="F149" s="6">
        <v>0.23348317076819766</v>
      </c>
      <c r="G149" s="6">
        <v>0.22291838254415072</v>
      </c>
      <c r="H149" s="6">
        <v>2.0022417645544358E-2</v>
      </c>
    </row>
    <row r="150" spans="1:8" x14ac:dyDescent="0.35">
      <c r="B150" s="5" t="s">
        <v>25</v>
      </c>
      <c r="C150" s="6">
        <v>0.25234055426405438</v>
      </c>
      <c r="D150" s="6">
        <v>0.1993995260826362</v>
      </c>
      <c r="E150" s="6">
        <v>6.1592539666842153E-2</v>
      </c>
      <c r="F150" s="6">
        <v>0.23899667311973563</v>
      </c>
      <c r="G150" s="6">
        <v>0.22879759811497438</v>
      </c>
      <c r="H150" s="6">
        <v>1.8873108751757333E-2</v>
      </c>
    </row>
    <row r="151" spans="1:8" x14ac:dyDescent="0.35">
      <c r="B151" s="5" t="s">
        <v>26</v>
      </c>
      <c r="C151" s="6">
        <v>0.25821521000692527</v>
      </c>
      <c r="D151" s="6">
        <v>0.20392357022415969</v>
      </c>
      <c r="E151" s="6">
        <v>6.1764200065174323E-2</v>
      </c>
      <c r="F151" s="6">
        <v>0.24044495503959337</v>
      </c>
      <c r="G151" s="6">
        <v>0.21539173084809846</v>
      </c>
      <c r="H151" s="6">
        <v>2.026033381604905E-2</v>
      </c>
    </row>
    <row r="152" spans="1:8" x14ac:dyDescent="0.35">
      <c r="B152" s="5" t="s">
        <v>15</v>
      </c>
      <c r="C152" s="6">
        <v>0.25116551229346779</v>
      </c>
      <c r="D152" s="6">
        <v>0.21005683383716528</v>
      </c>
      <c r="E152" s="6">
        <v>6.0136053753024096E-2</v>
      </c>
      <c r="F152" s="6">
        <v>0.23839520553396998</v>
      </c>
      <c r="G152" s="6">
        <v>0.220489100668116</v>
      </c>
      <c r="H152" s="6">
        <v>1.9757293914256957E-2</v>
      </c>
    </row>
    <row r="153" spans="1:8" x14ac:dyDescent="0.35">
      <c r="B153" s="5" t="s">
        <v>34</v>
      </c>
      <c r="C153" s="6">
        <v>0.25813870918514387</v>
      </c>
      <c r="D153" s="6">
        <v>0.20842923533362576</v>
      </c>
      <c r="E153" s="6">
        <v>5.9565427762677467E-2</v>
      </c>
      <c r="F153" s="6">
        <v>0.23716387176028061</v>
      </c>
      <c r="G153" s="6">
        <v>0.21464770483301948</v>
      </c>
      <c r="H153" s="6">
        <v>2.205505112525288E-2</v>
      </c>
    </row>
    <row r="154" spans="1:8" x14ac:dyDescent="0.35">
      <c r="B154" s="5" t="s">
        <v>27</v>
      </c>
      <c r="C154" s="6">
        <v>0.26109338618054995</v>
      </c>
      <c r="D154" s="6">
        <v>0.20282964404608647</v>
      </c>
      <c r="E154" s="6">
        <v>6.0963734934025716E-2</v>
      </c>
      <c r="F154" s="6">
        <v>0.23748479285305416</v>
      </c>
      <c r="G154" s="6">
        <v>0.21572313124024392</v>
      </c>
      <c r="H154" s="6">
        <v>2.1905310746039939E-2</v>
      </c>
    </row>
    <row r="155" spans="1:8" x14ac:dyDescent="0.35">
      <c r="B155" s="5" t="s">
        <v>37</v>
      </c>
      <c r="C155" s="6">
        <v>0.25617870155108818</v>
      </c>
      <c r="D155" s="6">
        <v>0.20526738052609594</v>
      </c>
      <c r="E155" s="6">
        <v>6.4242603474367346E-2</v>
      </c>
      <c r="F155" s="6">
        <v>0.23638032942910406</v>
      </c>
      <c r="G155" s="6">
        <v>0.21398032809272075</v>
      </c>
      <c r="H155" s="6">
        <v>2.3950656926623789E-2</v>
      </c>
    </row>
    <row r="156" spans="1:8" x14ac:dyDescent="0.35">
      <c r="B156" s="5" t="s">
        <v>29</v>
      </c>
      <c r="C156" s="6">
        <v>0.25245206720060598</v>
      </c>
      <c r="D156" s="6">
        <v>0.20880887287174801</v>
      </c>
      <c r="E156" s="6">
        <v>6.6079034528317301E-2</v>
      </c>
      <c r="F156" s="6">
        <v>0.23774211233038289</v>
      </c>
      <c r="G156" s="6">
        <v>0.21136480122715359</v>
      </c>
      <c r="H156" s="6">
        <v>2.3553111841792335E-2</v>
      </c>
    </row>
    <row r="157" spans="1:8" x14ac:dyDescent="0.35">
      <c r="B157" s="5" t="s">
        <v>30</v>
      </c>
      <c r="C157" s="6">
        <v>0.25421553485362941</v>
      </c>
      <c r="D157" s="6">
        <v>0.20126698963816056</v>
      </c>
      <c r="E157" s="6">
        <v>7.5634847789349688E-2</v>
      </c>
      <c r="F157" s="6">
        <v>0.23228550097864256</v>
      </c>
      <c r="G157" s="6">
        <v>0.21478912015748175</v>
      </c>
      <c r="H157" s="6">
        <v>2.1808006582736062E-2</v>
      </c>
    </row>
    <row r="158" spans="1:8" x14ac:dyDescent="0.35">
      <c r="B158" s="5" t="s">
        <v>35</v>
      </c>
      <c r="C158" s="6">
        <v>0.26085101770740876</v>
      </c>
      <c r="D158" s="6">
        <v>0.20001379896977023</v>
      </c>
      <c r="E158" s="6">
        <v>7.3444555536910525E-2</v>
      </c>
      <c r="F158" s="6">
        <v>0.23095609777076651</v>
      </c>
      <c r="G158" s="6">
        <v>0.21229671889004184</v>
      </c>
      <c r="H158" s="6">
        <v>2.243781112510217E-2</v>
      </c>
    </row>
    <row r="159" spans="1:8" x14ac:dyDescent="0.35">
      <c r="B159" s="5" t="s">
        <v>31</v>
      </c>
      <c r="C159" s="6">
        <v>0.25261663595390377</v>
      </c>
      <c r="D159" s="6">
        <v>0.19909915048092719</v>
      </c>
      <c r="E159" s="6">
        <v>7.1705951544212401E-2</v>
      </c>
      <c r="F159" s="6">
        <v>0.2278443420091335</v>
      </c>
      <c r="G159" s="6">
        <v>0.22642675806344587</v>
      </c>
      <c r="H159" s="6">
        <v>2.2307161948377327E-2</v>
      </c>
    </row>
    <row r="160" spans="1:8" x14ac:dyDescent="0.35">
      <c r="A160" s="61" t="s">
        <v>84</v>
      </c>
      <c r="B160" s="14" t="s">
        <v>39</v>
      </c>
      <c r="C160" s="9">
        <v>0.252463422563658</v>
      </c>
      <c r="D160" s="9">
        <v>0.20446165217574758</v>
      </c>
      <c r="E160" s="9">
        <v>7.0936659703684235E-2</v>
      </c>
      <c r="F160" s="9">
        <v>0.22897214829054879</v>
      </c>
      <c r="G160" s="9">
        <v>0.22073280704676929</v>
      </c>
      <c r="H160" s="9">
        <v>2.2433310219592155E-2</v>
      </c>
    </row>
    <row r="161" spans="2:8" x14ac:dyDescent="0.35">
      <c r="B161" s="5" t="s">
        <v>33</v>
      </c>
      <c r="C161" s="6">
        <v>0.2487797280644985</v>
      </c>
      <c r="D161" s="6">
        <v>0.20167139198427911</v>
      </c>
      <c r="E161" s="6">
        <v>7.1771058526370543E-2</v>
      </c>
      <c r="F161" s="6">
        <v>0.23025980577533667</v>
      </c>
      <c r="G161" s="6">
        <v>0.22507678304229581</v>
      </c>
      <c r="H161" s="6">
        <v>2.2441232607219461E-2</v>
      </c>
    </row>
    <row r="162" spans="2:8" x14ac:dyDescent="0.35">
      <c r="B162" s="5" t="s">
        <v>25</v>
      </c>
      <c r="C162" s="6">
        <v>0.24630659173165076</v>
      </c>
      <c r="D162" s="6">
        <v>0.20258687335171777</v>
      </c>
      <c r="E162" s="6">
        <v>7.0618448547613774E-2</v>
      </c>
      <c r="F162" s="6">
        <v>0.23201782340815383</v>
      </c>
      <c r="G162" s="6">
        <v>0.22713047341408027</v>
      </c>
      <c r="H162" s="6">
        <v>2.1339789546783682E-2</v>
      </c>
    </row>
  </sheetData>
  <mergeCells count="1">
    <mergeCell ref="A1:B1"/>
  </mergeCells>
  <phoneticPr fontId="22" type="noConversion"/>
  <pageMargins left="0.7" right="0.7" top="0.75" bottom="0.75" header="0.3" footer="0.3"/>
  <pageSetup paperSize="9" orientation="portrait" r:id="rId1"/>
  <ignoredErrors>
    <ignoredError sqref="A88 A100 A136 A124 A112 A148 A16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7"/>
  <sheetViews>
    <sheetView workbookViewId="0">
      <selection activeCell="O3" sqref="O3:O11"/>
    </sheetView>
  </sheetViews>
  <sheetFormatPr defaultRowHeight="14.5" x14ac:dyDescent="0.35"/>
  <cols>
    <col min="1" max="1" width="19.7265625" style="15" bestFit="1" customWidth="1"/>
    <col min="2" max="2" width="29.7265625" style="16" bestFit="1" customWidth="1"/>
    <col min="3" max="3" width="17.81640625" style="15" bestFit="1" customWidth="1"/>
    <col min="4" max="7" width="18.7265625" style="15" bestFit="1" customWidth="1"/>
    <col min="8" max="8" width="17.81640625" style="15" bestFit="1" customWidth="1"/>
    <col min="9" max="10" width="18.7265625" style="15" bestFit="1" customWidth="1"/>
    <col min="11" max="12" width="17.81640625" style="15" bestFit="1" customWidth="1"/>
    <col min="13" max="13" width="20.453125" style="15" bestFit="1" customWidth="1"/>
    <col min="14" max="14" width="22.54296875" customWidth="1"/>
    <col min="15" max="15" width="20.26953125" bestFit="1" customWidth="1"/>
    <col min="16" max="16" width="20.54296875" bestFit="1" customWidth="1"/>
  </cols>
  <sheetData>
    <row r="1" spans="1:16" x14ac:dyDescent="0.35">
      <c r="A1" s="39" t="s">
        <v>89</v>
      </c>
    </row>
    <row r="2" spans="1:16" x14ac:dyDescent="0.35">
      <c r="A2" s="17"/>
      <c r="B2" s="18" t="s">
        <v>40</v>
      </c>
      <c r="C2" s="41" t="s">
        <v>41</v>
      </c>
      <c r="D2" s="41" t="s">
        <v>42</v>
      </c>
      <c r="E2" s="41" t="s">
        <v>43</v>
      </c>
      <c r="F2" s="41" t="s">
        <v>44</v>
      </c>
      <c r="G2" s="41" t="s">
        <v>45</v>
      </c>
      <c r="H2" s="41" t="s">
        <v>46</v>
      </c>
      <c r="I2" s="41" t="s">
        <v>47</v>
      </c>
      <c r="J2" s="41" t="s">
        <v>48</v>
      </c>
      <c r="K2" s="41" t="s">
        <v>49</v>
      </c>
      <c r="L2" s="31" t="s">
        <v>50</v>
      </c>
      <c r="M2" s="31" t="s">
        <v>51</v>
      </c>
      <c r="N2" s="31" t="s">
        <v>78</v>
      </c>
      <c r="O2" s="57" t="s">
        <v>52</v>
      </c>
    </row>
    <row r="3" spans="1:16" x14ac:dyDescent="0.35">
      <c r="B3" s="18" t="s">
        <v>53</v>
      </c>
      <c r="C3" s="51">
        <v>121558854247.89</v>
      </c>
      <c r="D3" s="51">
        <v>96252878157</v>
      </c>
      <c r="E3" s="51">
        <v>61718043483</v>
      </c>
      <c r="F3" s="51">
        <v>75993240498</v>
      </c>
      <c r="G3" s="51">
        <v>96058442580</v>
      </c>
      <c r="H3" s="51">
        <v>35353761063</v>
      </c>
      <c r="I3" s="51">
        <v>90751641821</v>
      </c>
      <c r="J3" s="51">
        <v>72393759371</v>
      </c>
      <c r="K3" s="51">
        <v>46326544335</v>
      </c>
      <c r="L3" s="51">
        <v>71355125804</v>
      </c>
      <c r="M3" s="51">
        <v>96528745729</v>
      </c>
      <c r="N3" s="50">
        <v>6842650009</v>
      </c>
      <c r="O3" s="60">
        <f>SUM(C3:N3)</f>
        <v>871133687097.89001</v>
      </c>
      <c r="P3" s="55"/>
    </row>
    <row r="4" spans="1:16" x14ac:dyDescent="0.35">
      <c r="B4" s="18" t="s">
        <v>72</v>
      </c>
      <c r="C4" s="51">
        <v>109134934423.64999</v>
      </c>
      <c r="D4" s="51">
        <v>74231442380.529999</v>
      </c>
      <c r="E4" s="51">
        <v>52069917418</v>
      </c>
      <c r="F4" s="51">
        <v>72639767566.199997</v>
      </c>
      <c r="G4" s="51">
        <v>33025838940.799999</v>
      </c>
      <c r="H4" s="51">
        <v>13174475750</v>
      </c>
      <c r="I4" s="51">
        <v>24581395249.689999</v>
      </c>
      <c r="J4" s="51">
        <v>34889328622</v>
      </c>
      <c r="K4" s="51">
        <v>13107090621</v>
      </c>
      <c r="L4" s="51">
        <v>31571668888.099998</v>
      </c>
      <c r="M4" s="51">
        <v>130666306432.58</v>
      </c>
      <c r="N4" s="50">
        <v>5227043517</v>
      </c>
      <c r="O4" s="60">
        <f>SUM(C4:N4)</f>
        <v>594319209809.54993</v>
      </c>
    </row>
    <row r="5" spans="1:16" x14ac:dyDescent="0.35">
      <c r="B5" s="18" t="s">
        <v>54</v>
      </c>
      <c r="C5" s="51">
        <v>18043110149.900002</v>
      </c>
      <c r="D5" s="51">
        <v>15801504057</v>
      </c>
      <c r="E5" s="51">
        <v>8445130190</v>
      </c>
      <c r="F5" s="51">
        <v>15024364830</v>
      </c>
      <c r="G5" s="51">
        <v>18842483430</v>
      </c>
      <c r="H5" s="51">
        <v>6797005144</v>
      </c>
      <c r="I5" s="51">
        <v>19625965931</v>
      </c>
      <c r="J5" s="51">
        <v>21653054238</v>
      </c>
      <c r="K5" s="51">
        <v>5756673606</v>
      </c>
      <c r="L5" s="51">
        <v>20298766048</v>
      </c>
      <c r="M5" s="51">
        <v>23624663548</v>
      </c>
      <c r="N5" s="50">
        <v>8267005575</v>
      </c>
      <c r="O5" s="60">
        <f t="shared" ref="O5:O11" si="0">SUM(C5:N5)</f>
        <v>182179726746.89999</v>
      </c>
    </row>
    <row r="6" spans="1:16" x14ac:dyDescent="0.35">
      <c r="B6" s="18" t="s">
        <v>55</v>
      </c>
      <c r="C6" s="51">
        <v>3079283765</v>
      </c>
      <c r="D6" s="51">
        <v>3889289374</v>
      </c>
      <c r="E6" s="51">
        <v>1922115834</v>
      </c>
      <c r="F6" s="51">
        <v>3383519235</v>
      </c>
      <c r="G6" s="51">
        <v>3469440671</v>
      </c>
      <c r="H6" s="51">
        <v>638683955</v>
      </c>
      <c r="I6" s="51">
        <v>3223977839</v>
      </c>
      <c r="J6" s="51">
        <v>2196984700</v>
      </c>
      <c r="K6" s="51">
        <v>705759315</v>
      </c>
      <c r="L6" s="51">
        <v>1425696459</v>
      </c>
      <c r="M6" s="51">
        <v>3745452362</v>
      </c>
      <c r="N6" s="50">
        <v>117705000</v>
      </c>
      <c r="O6" s="60">
        <f t="shared" si="0"/>
        <v>27797908509</v>
      </c>
    </row>
    <row r="7" spans="1:16" x14ac:dyDescent="0.35">
      <c r="B7" s="18" t="s">
        <v>56</v>
      </c>
      <c r="C7" s="51">
        <v>2846559728.73</v>
      </c>
      <c r="D7" s="51">
        <v>5215813287</v>
      </c>
      <c r="E7" s="51">
        <v>3945572797</v>
      </c>
      <c r="F7" s="51">
        <v>10483170644</v>
      </c>
      <c r="G7" s="51">
        <v>10106921680</v>
      </c>
      <c r="H7" s="51">
        <v>3940397401</v>
      </c>
      <c r="I7" s="51">
        <v>9209020775</v>
      </c>
      <c r="J7" s="51">
        <v>7668388461</v>
      </c>
      <c r="K7" s="51">
        <v>1760075448</v>
      </c>
      <c r="L7" s="51">
        <v>7726667095</v>
      </c>
      <c r="M7" s="51">
        <v>9413401632</v>
      </c>
      <c r="N7" s="50">
        <v>809506137</v>
      </c>
      <c r="O7" s="60">
        <f t="shared" si="0"/>
        <v>73125495085.729996</v>
      </c>
    </row>
    <row r="8" spans="1:16" x14ac:dyDescent="0.35">
      <c r="B8" s="18" t="s">
        <v>57</v>
      </c>
      <c r="C8" s="51">
        <v>21317188594.510002</v>
      </c>
      <c r="D8" s="51">
        <v>50003942310</v>
      </c>
      <c r="E8" s="51">
        <v>19919558849</v>
      </c>
      <c r="F8" s="51">
        <v>50254797688</v>
      </c>
      <c r="G8" s="51">
        <v>50455111003</v>
      </c>
      <c r="H8" s="51">
        <v>15213940778</v>
      </c>
      <c r="I8" s="51">
        <v>58181192183</v>
      </c>
      <c r="J8" s="51">
        <v>39513065994</v>
      </c>
      <c r="K8" s="51">
        <v>8721167707</v>
      </c>
      <c r="L8" s="51">
        <v>50370009571</v>
      </c>
      <c r="M8" s="51">
        <v>67609308668</v>
      </c>
      <c r="N8" s="50">
        <v>4348803773</v>
      </c>
      <c r="O8" s="60">
        <f t="shared" si="0"/>
        <v>435908087118.51001</v>
      </c>
    </row>
    <row r="9" spans="1:16" x14ac:dyDescent="0.35">
      <c r="B9" s="18" t="s">
        <v>5</v>
      </c>
      <c r="C9" s="51">
        <v>67283873781.759995</v>
      </c>
      <c r="D9" s="51">
        <v>93397904933.470001</v>
      </c>
      <c r="E9" s="51">
        <v>42093385662</v>
      </c>
      <c r="F9" s="51">
        <v>79063392600</v>
      </c>
      <c r="G9" s="51">
        <v>92049958215.199997</v>
      </c>
      <c r="H9" s="51">
        <v>24511517592</v>
      </c>
      <c r="I9" s="51">
        <v>76182731998</v>
      </c>
      <c r="J9" s="51">
        <v>58713744967</v>
      </c>
      <c r="K9" s="51">
        <v>15489995533</v>
      </c>
      <c r="L9" s="51">
        <v>71497638839</v>
      </c>
      <c r="M9" s="51">
        <v>74010640562.419998</v>
      </c>
      <c r="N9" s="50">
        <v>17247526285</v>
      </c>
      <c r="O9" s="60">
        <f t="shared" si="0"/>
        <v>711542310968.84998</v>
      </c>
    </row>
    <row r="10" spans="1:16" x14ac:dyDescent="0.35">
      <c r="B10" s="18" t="s">
        <v>58</v>
      </c>
      <c r="C10" s="51">
        <v>13864944106.450001</v>
      </c>
      <c r="D10" s="51">
        <v>14336910839</v>
      </c>
      <c r="E10" s="51">
        <v>1650737011</v>
      </c>
      <c r="F10" s="51">
        <v>6518667889.8000002</v>
      </c>
      <c r="G10" s="51">
        <v>7618685368</v>
      </c>
      <c r="H10" s="51">
        <v>4628770462</v>
      </c>
      <c r="I10" s="51">
        <v>4588422932.3099995</v>
      </c>
      <c r="J10" s="51">
        <v>5514539298</v>
      </c>
      <c r="K10" s="51">
        <v>1514549931</v>
      </c>
      <c r="L10" s="51">
        <v>2021058236.9000001</v>
      </c>
      <c r="M10" s="51">
        <v>2321880005</v>
      </c>
      <c r="N10" s="50">
        <v>382431412</v>
      </c>
      <c r="O10" s="60">
        <f t="shared" si="0"/>
        <v>64961597491.459999</v>
      </c>
    </row>
    <row r="11" spans="1:16" x14ac:dyDescent="0.35">
      <c r="A11" s="17"/>
      <c r="B11" s="19" t="s">
        <v>59</v>
      </c>
      <c r="C11" s="52">
        <v>701007441.00006104</v>
      </c>
      <c r="D11" s="52">
        <v>338974693</v>
      </c>
      <c r="E11" s="52">
        <v>6700000</v>
      </c>
      <c r="F11" s="52">
        <v>6570000</v>
      </c>
      <c r="G11" s="52">
        <v>325958440</v>
      </c>
      <c r="H11" s="52">
        <v>4000000</v>
      </c>
      <c r="I11" s="52">
        <v>1618300</v>
      </c>
      <c r="J11" s="52">
        <v>14482150</v>
      </c>
      <c r="K11" s="52">
        <v>0</v>
      </c>
      <c r="L11" s="52">
        <v>6880000</v>
      </c>
      <c r="M11" s="52">
        <v>0</v>
      </c>
      <c r="N11" s="50">
        <v>0</v>
      </c>
      <c r="O11" s="60">
        <f t="shared" si="0"/>
        <v>1406191024.000061</v>
      </c>
    </row>
    <row r="12" spans="1:16" x14ac:dyDescent="0.35">
      <c r="B12" s="19"/>
      <c r="C12" s="20">
        <f>SUM(C3:C11)</f>
        <v>357829756238.89008</v>
      </c>
      <c r="D12" s="20">
        <f>SUM(D3:D11)</f>
        <v>353468660031</v>
      </c>
      <c r="E12" s="20">
        <f t="shared" ref="E12:O12" si="1">SUM(E3:E11)</f>
        <v>191771161244</v>
      </c>
      <c r="F12" s="20">
        <f t="shared" si="1"/>
        <v>313367490951</v>
      </c>
      <c r="G12" s="20">
        <f t="shared" si="1"/>
        <v>311952840328</v>
      </c>
      <c r="H12" s="20">
        <f t="shared" si="1"/>
        <v>104262552145</v>
      </c>
      <c r="I12" s="20">
        <f t="shared" si="1"/>
        <v>286345967029</v>
      </c>
      <c r="J12" s="20">
        <f t="shared" si="1"/>
        <v>242557347801</v>
      </c>
      <c r="K12" s="20">
        <f t="shared" si="1"/>
        <v>93381856496</v>
      </c>
      <c r="L12" s="20">
        <f t="shared" si="1"/>
        <v>256273510941</v>
      </c>
      <c r="M12" s="20">
        <f t="shared" si="1"/>
        <v>407920398939</v>
      </c>
      <c r="N12" s="20">
        <f t="shared" si="1"/>
        <v>43242671708</v>
      </c>
      <c r="O12" s="20">
        <f t="shared" si="1"/>
        <v>2962374213851.8896</v>
      </c>
    </row>
    <row r="13" spans="1:16" x14ac:dyDescent="0.35">
      <c r="M13"/>
    </row>
    <row r="15" spans="1:16" x14ac:dyDescent="0.35"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</row>
    <row r="27" spans="3:14" x14ac:dyDescent="0.35"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2"/>
  <sheetViews>
    <sheetView topLeftCell="C1" workbookViewId="0">
      <selection activeCell="C12" sqref="C12:O12"/>
    </sheetView>
  </sheetViews>
  <sheetFormatPr defaultColWidth="9.1796875" defaultRowHeight="14.5" x14ac:dyDescent="0.35"/>
  <cols>
    <col min="1" max="1" width="19.7265625" style="15" bestFit="1" customWidth="1"/>
    <col min="2" max="2" width="29.7265625" style="15" bestFit="1" customWidth="1"/>
    <col min="3" max="8" width="12" style="15" bestFit="1" customWidth="1"/>
    <col min="9" max="9" width="11" style="15" bestFit="1" customWidth="1"/>
    <col min="10" max="10" width="12" style="15" bestFit="1" customWidth="1"/>
    <col min="11" max="11" width="12" style="15" customWidth="1"/>
    <col min="12" max="12" width="11" style="15" bestFit="1" customWidth="1"/>
    <col min="13" max="14" width="12" style="15" bestFit="1" customWidth="1"/>
    <col min="15" max="15" width="11.36328125" style="28" bestFit="1" customWidth="1"/>
    <col min="16" max="16384" width="9.1796875" style="28"/>
  </cols>
  <sheetData>
    <row r="1" spans="1:15" ht="15" thickBot="1" x14ac:dyDescent="0.4">
      <c r="A1" s="39" t="str">
        <f>'Fixed rate bond (Values)'!A1</f>
        <v>28 March 2024</v>
      </c>
    </row>
    <row r="2" spans="1:15" ht="15" thickBot="1" x14ac:dyDescent="0.4">
      <c r="A2" s="17"/>
      <c r="B2" s="44" t="s">
        <v>40</v>
      </c>
      <c r="C2" s="45" t="s">
        <v>41</v>
      </c>
      <c r="D2" s="45" t="s">
        <v>42</v>
      </c>
      <c r="E2" s="45" t="s">
        <v>43</v>
      </c>
      <c r="F2" s="45" t="s">
        <v>44</v>
      </c>
      <c r="G2" s="45" t="s">
        <v>45</v>
      </c>
      <c r="H2" s="45" t="s">
        <v>46</v>
      </c>
      <c r="I2" s="45" t="s">
        <v>47</v>
      </c>
      <c r="J2" s="45" t="s">
        <v>48</v>
      </c>
      <c r="K2" s="45" t="s">
        <v>49</v>
      </c>
      <c r="L2" s="45" t="s">
        <v>50</v>
      </c>
      <c r="M2" s="45" t="s">
        <v>51</v>
      </c>
      <c r="N2" s="45" t="s">
        <v>78</v>
      </c>
      <c r="O2" s="45" t="s">
        <v>71</v>
      </c>
    </row>
    <row r="3" spans="1:15" x14ac:dyDescent="0.35">
      <c r="B3" s="46" t="s">
        <v>53</v>
      </c>
      <c r="C3" s="58">
        <v>0.33971141898757107</v>
      </c>
      <c r="D3" s="58">
        <v>0.27230951153790667</v>
      </c>
      <c r="E3" s="58">
        <v>0.32183172424175427</v>
      </c>
      <c r="F3" s="58">
        <v>0.24250518222990386</v>
      </c>
      <c r="G3" s="58">
        <v>0.30792616755468621</v>
      </c>
      <c r="H3" s="58">
        <v>0.33908397920120759</v>
      </c>
      <c r="I3" s="58">
        <v>0.31693005060486507</v>
      </c>
      <c r="J3" s="58">
        <v>0.29846038484224202</v>
      </c>
      <c r="K3" s="58">
        <v>0.4960979153052541</v>
      </c>
      <c r="L3" s="58">
        <v>0.27843348125209699</v>
      </c>
      <c r="M3" s="58">
        <v>0.23663623094130876</v>
      </c>
      <c r="N3" s="58">
        <v>0.15823837285553505</v>
      </c>
      <c r="O3" s="58">
        <v>0.29406605115063433</v>
      </c>
    </row>
    <row r="4" spans="1:15" x14ac:dyDescent="0.35">
      <c r="B4" s="47" t="s">
        <v>72</v>
      </c>
      <c r="C4" s="58">
        <v>0.30499122144216151</v>
      </c>
      <c r="D4" s="58">
        <v>0.21000855457459716</v>
      </c>
      <c r="E4" s="58">
        <v>0.27152110400869323</v>
      </c>
      <c r="F4" s="58">
        <v>0.23180377564295074</v>
      </c>
      <c r="G4" s="58">
        <v>0.10586805013884559</v>
      </c>
      <c r="H4" s="58">
        <v>0.12635865398420321</v>
      </c>
      <c r="I4" s="58">
        <v>8.5845089786790993E-2</v>
      </c>
      <c r="J4" s="58">
        <v>0.14383950409378676</v>
      </c>
      <c r="K4" s="58">
        <v>0.14036014181792841</v>
      </c>
      <c r="L4" s="58">
        <v>0.12319520957188788</v>
      </c>
      <c r="M4" s="58">
        <v>0.32032305021382301</v>
      </c>
      <c r="N4" s="59">
        <v>0.12087697893173849</v>
      </c>
      <c r="O4" s="59">
        <v>0.20062259758762005</v>
      </c>
    </row>
    <row r="5" spans="1:15" x14ac:dyDescent="0.35">
      <c r="B5" s="47" t="s">
        <v>54</v>
      </c>
      <c r="C5" s="58">
        <v>5.0423727583611778E-2</v>
      </c>
      <c r="D5" s="58">
        <v>4.4704116216736645E-2</v>
      </c>
      <c r="E5" s="58">
        <v>4.4037540030614095E-2</v>
      </c>
      <c r="F5" s="58">
        <v>4.794487387445464E-2</v>
      </c>
      <c r="G5" s="58">
        <v>6.0401704982677003E-2</v>
      </c>
      <c r="H5" s="58">
        <v>6.5191240806644263E-2</v>
      </c>
      <c r="I5" s="58">
        <v>6.8539348169036229E-2</v>
      </c>
      <c r="J5" s="58">
        <v>8.9269834265192805E-2</v>
      </c>
      <c r="K5" s="58">
        <v>6.1646596266230654E-2</v>
      </c>
      <c r="L5" s="58">
        <v>7.9207429489945372E-2</v>
      </c>
      <c r="M5" s="58">
        <v>5.7914886358828084E-2</v>
      </c>
      <c r="N5" s="59">
        <v>0.19117703066137293</v>
      </c>
      <c r="O5" s="59">
        <v>6.1497877579084433E-2</v>
      </c>
    </row>
    <row r="6" spans="1:15" x14ac:dyDescent="0.35">
      <c r="B6" s="47" t="s">
        <v>55</v>
      </c>
      <c r="C6" s="58">
        <v>8.6054435421078976E-3</v>
      </c>
      <c r="D6" s="58">
        <v>1.1003208526772643E-2</v>
      </c>
      <c r="E6" s="58">
        <v>1.0022966026442299E-2</v>
      </c>
      <c r="F6" s="58">
        <v>1.0797288591524854E-2</v>
      </c>
      <c r="G6" s="58">
        <v>1.1121683224144033E-2</v>
      </c>
      <c r="H6" s="58">
        <v>6.1257272324560935E-3</v>
      </c>
      <c r="I6" s="58">
        <v>1.1259030020400072E-2</v>
      </c>
      <c r="J6" s="58">
        <v>9.057588730737854E-3</v>
      </c>
      <c r="K6" s="58">
        <v>7.5577777255930985E-3</v>
      </c>
      <c r="L6" s="58">
        <v>5.5631830764133394E-3</v>
      </c>
      <c r="M6" s="58">
        <v>9.1818216783027106E-3</v>
      </c>
      <c r="N6" s="59">
        <v>2.7219641005258306E-3</v>
      </c>
      <c r="O6" s="59">
        <v>9.3836586812761861E-3</v>
      </c>
    </row>
    <row r="7" spans="1:15" x14ac:dyDescent="0.35">
      <c r="B7" s="47" t="s">
        <v>56</v>
      </c>
      <c r="C7" s="58">
        <v>7.955067120884193E-3</v>
      </c>
      <c r="D7" s="58">
        <v>1.4756084136405648E-2</v>
      </c>
      <c r="E7" s="58">
        <v>2.057438027389244E-2</v>
      </c>
      <c r="F7" s="58">
        <v>3.3453280722215088E-2</v>
      </c>
      <c r="G7" s="58">
        <v>3.2398876924387573E-2</v>
      </c>
      <c r="H7" s="58">
        <v>3.7793026546290666E-2</v>
      </c>
      <c r="I7" s="58">
        <v>3.216046962542813E-2</v>
      </c>
      <c r="J7" s="58">
        <v>3.1614744020417529E-2</v>
      </c>
      <c r="K7" s="58">
        <v>1.8848152243314979E-2</v>
      </c>
      <c r="L7" s="58">
        <v>3.0150080929662898E-2</v>
      </c>
      <c r="M7" s="58">
        <v>2.3076565076137982E-2</v>
      </c>
      <c r="N7" s="59">
        <v>1.8720076836747333E-2</v>
      </c>
      <c r="O7" s="59">
        <v>2.4684759522885201E-2</v>
      </c>
    </row>
    <row r="8" spans="1:15" x14ac:dyDescent="0.35">
      <c r="B8" s="47" t="s">
        <v>57</v>
      </c>
      <c r="C8" s="58">
        <v>5.957354921673555E-2</v>
      </c>
      <c r="D8" s="58">
        <v>0.14146640979603267</v>
      </c>
      <c r="E8" s="58">
        <v>0.10387150351379139</v>
      </c>
      <c r="F8" s="58">
        <v>0.1603701696544462</v>
      </c>
      <c r="G8" s="58">
        <v>0.16173954675312277</v>
      </c>
      <c r="H8" s="58">
        <v>0.14591951247118592</v>
      </c>
      <c r="I8" s="58">
        <v>0.2031849541541042</v>
      </c>
      <c r="J8" s="58">
        <v>0.16290195433047647</v>
      </c>
      <c r="K8" s="58">
        <v>9.3392528637225899E-2</v>
      </c>
      <c r="L8" s="58">
        <v>0.19654785774014827</v>
      </c>
      <c r="M8" s="58">
        <v>0.16574142613081291</v>
      </c>
      <c r="N8" s="59">
        <v>0.10056741642527746</v>
      </c>
      <c r="O8" s="59">
        <v>0.14714821816913917</v>
      </c>
    </row>
    <row r="9" spans="1:15" x14ac:dyDescent="0.35">
      <c r="B9" s="47" t="s">
        <v>5</v>
      </c>
      <c r="C9" s="58">
        <v>0.18803319905245872</v>
      </c>
      <c r="D9" s="58">
        <v>0.26423249214026157</v>
      </c>
      <c r="E9" s="58">
        <v>0.21949799640855536</v>
      </c>
      <c r="F9" s="58">
        <v>0.25230247196370098</v>
      </c>
      <c r="G9" s="58">
        <v>0.29507651899695769</v>
      </c>
      <c r="H9" s="58">
        <v>0.23509416456554166</v>
      </c>
      <c r="I9" s="58">
        <v>0.26605135315310557</v>
      </c>
      <c r="J9" s="58">
        <v>0.2420612918936193</v>
      </c>
      <c r="K9" s="58">
        <v>0.16587799936986167</v>
      </c>
      <c r="L9" s="58">
        <v>0.27898957865942059</v>
      </c>
      <c r="M9" s="58">
        <v>0.18143402672413908</v>
      </c>
      <c r="N9" s="59">
        <v>0.39885431689941503</v>
      </c>
      <c r="O9" s="59">
        <v>0.24019325703070177</v>
      </c>
    </row>
    <row r="10" spans="1:15" x14ac:dyDescent="0.35">
      <c r="B10" s="47" t="s">
        <v>58</v>
      </c>
      <c r="C10" s="58">
        <v>3.8747320100438069E-2</v>
      </c>
      <c r="D10" s="58">
        <v>4.0560628027793526E-2</v>
      </c>
      <c r="E10" s="58">
        <v>8.607848022047929E-3</v>
      </c>
      <c r="F10" s="58">
        <v>2.0801991521256103E-2</v>
      </c>
      <c r="G10" s="58">
        <v>2.4422554896404859E-2</v>
      </c>
      <c r="H10" s="58">
        <v>4.4395330507186102E-2</v>
      </c>
      <c r="I10" s="58">
        <v>1.6024052931205773E-2</v>
      </c>
      <c r="J10" s="58">
        <v>2.2734991736981982E-2</v>
      </c>
      <c r="K10" s="58">
        <v>1.6218888634591193E-2</v>
      </c>
      <c r="L10" s="58">
        <v>7.8863329630868232E-3</v>
      </c>
      <c r="M10" s="58">
        <v>5.691992876647514E-3</v>
      </c>
      <c r="N10" s="59">
        <v>8.8438432893879048E-3</v>
      </c>
      <c r="O10" s="59">
        <v>2.1928896487048578E-2</v>
      </c>
    </row>
    <row r="11" spans="1:15" x14ac:dyDescent="0.35">
      <c r="B11" s="47" t="s">
        <v>59</v>
      </c>
      <c r="C11" s="58">
        <v>1.959052954031198E-3</v>
      </c>
      <c r="D11" s="58">
        <v>9.58995043493449E-4</v>
      </c>
      <c r="E11" s="58">
        <v>3.4937474209040512E-5</v>
      </c>
      <c r="F11" s="58">
        <v>2.0965799547558441E-5</v>
      </c>
      <c r="G11" s="58">
        <v>1.0448965287742657E-3</v>
      </c>
      <c r="H11" s="58">
        <v>3.8364685284483741E-5</v>
      </c>
      <c r="I11" s="58">
        <v>5.6515550639346174E-6</v>
      </c>
      <c r="J11" s="58">
        <v>5.9706086545279638E-5</v>
      </c>
      <c r="K11" s="58">
        <v>0</v>
      </c>
      <c r="L11" s="58">
        <v>2.6846317337822453E-5</v>
      </c>
      <c r="M11" s="58">
        <v>0</v>
      </c>
      <c r="N11" s="59">
        <v>0</v>
      </c>
      <c r="O11" s="59">
        <v>4.7468379161038921E-4</v>
      </c>
    </row>
    <row r="12" spans="1:15" ht="15" thickBot="1" x14ac:dyDescent="0.4">
      <c r="A12" s="17"/>
      <c r="B12" s="48"/>
      <c r="C12" s="49">
        <f>SUM(C3:C11)</f>
        <v>1</v>
      </c>
      <c r="D12" s="49">
        <f t="shared" ref="D12:O12" si="0">SUM(D3:D11)</f>
        <v>0.99999999999999978</v>
      </c>
      <c r="E12" s="49">
        <f t="shared" si="0"/>
        <v>1</v>
      </c>
      <c r="F12" s="49">
        <f t="shared" si="0"/>
        <v>1</v>
      </c>
      <c r="G12" s="49">
        <f t="shared" si="0"/>
        <v>1</v>
      </c>
      <c r="H12" s="49">
        <f t="shared" si="0"/>
        <v>1</v>
      </c>
      <c r="I12" s="49">
        <f t="shared" si="0"/>
        <v>1</v>
      </c>
      <c r="J12" s="49">
        <f t="shared" si="0"/>
        <v>0.99999999999999989</v>
      </c>
      <c r="K12" s="49">
        <f t="shared" si="0"/>
        <v>1</v>
      </c>
      <c r="L12" s="49">
        <f t="shared" si="0"/>
        <v>1</v>
      </c>
      <c r="M12" s="49">
        <f t="shared" si="0"/>
        <v>1.0000000000000002</v>
      </c>
      <c r="N12" s="49">
        <f t="shared" si="0"/>
        <v>1</v>
      </c>
      <c r="O12" s="49">
        <f t="shared" si="0"/>
        <v>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4"/>
  <sheetViews>
    <sheetView topLeftCell="G1" workbookViewId="0">
      <selection activeCell="N3" sqref="N3:N11"/>
    </sheetView>
  </sheetViews>
  <sheetFormatPr defaultColWidth="9.1796875" defaultRowHeight="14.5" x14ac:dyDescent="0.35"/>
  <cols>
    <col min="1" max="1" width="19.7265625" style="15" bestFit="1" customWidth="1"/>
    <col min="2" max="2" width="31.26953125" style="29" customWidth="1"/>
    <col min="3" max="4" width="17.7265625" style="15" bestFit="1" customWidth="1"/>
    <col min="5" max="5" width="16.54296875" style="15" bestFit="1" customWidth="1"/>
    <col min="6" max="9" width="17.7265625" style="15" bestFit="1" customWidth="1"/>
    <col min="10" max="10" width="17.7265625" style="15" customWidth="1"/>
    <col min="11" max="11" width="18.7265625" style="15" bestFit="1" customWidth="1"/>
    <col min="12" max="13" width="18.81640625" style="28" customWidth="1"/>
    <col min="14" max="14" width="20.81640625" style="28" customWidth="1"/>
    <col min="15" max="16384" width="9.1796875" style="28"/>
  </cols>
  <sheetData>
    <row r="1" spans="1:14" x14ac:dyDescent="0.35">
      <c r="A1" s="39" t="str">
        <f>'Fixed rate bond (Values)'!A1</f>
        <v>28 March 2024</v>
      </c>
      <c r="C1" s="32"/>
      <c r="D1" s="32"/>
      <c r="E1" s="32"/>
      <c r="F1" s="32"/>
      <c r="G1" s="32"/>
      <c r="H1" s="32"/>
      <c r="I1" s="32"/>
      <c r="J1" s="32"/>
    </row>
    <row r="2" spans="1:14" x14ac:dyDescent="0.35">
      <c r="A2" s="17"/>
      <c r="B2" s="18" t="s">
        <v>40</v>
      </c>
      <c r="C2" s="40" t="s">
        <v>60</v>
      </c>
      <c r="D2" s="40" t="s">
        <v>61</v>
      </c>
      <c r="E2" s="40" t="s">
        <v>67</v>
      </c>
      <c r="F2" s="40" t="s">
        <v>79</v>
      </c>
      <c r="G2" s="40" t="s">
        <v>62</v>
      </c>
      <c r="H2" s="40" t="s">
        <v>63</v>
      </c>
      <c r="I2" s="40" t="s">
        <v>64</v>
      </c>
      <c r="J2" s="40" t="s">
        <v>81</v>
      </c>
      <c r="K2" s="40" t="s">
        <v>65</v>
      </c>
      <c r="L2" s="22" t="s">
        <v>66</v>
      </c>
      <c r="M2" s="22" t="s">
        <v>82</v>
      </c>
      <c r="N2" s="22" t="s">
        <v>83</v>
      </c>
    </row>
    <row r="3" spans="1:14" x14ac:dyDescent="0.35">
      <c r="B3" s="18" t="s">
        <v>53</v>
      </c>
      <c r="C3" s="51">
        <v>1180653612</v>
      </c>
      <c r="D3" s="51">
        <v>73947432</v>
      </c>
      <c r="E3" s="51">
        <v>4587472366</v>
      </c>
      <c r="F3" s="51">
        <v>145800000</v>
      </c>
      <c r="G3" s="51">
        <v>13689166658</v>
      </c>
      <c r="H3" s="51">
        <v>406701358</v>
      </c>
      <c r="I3" s="51">
        <v>3218578152</v>
      </c>
      <c r="J3" s="51">
        <v>20000000</v>
      </c>
      <c r="K3" s="51">
        <v>6677936123</v>
      </c>
      <c r="L3" s="52">
        <v>2347482384</v>
      </c>
      <c r="M3" s="52">
        <v>105000000</v>
      </c>
      <c r="N3" s="20">
        <f>SUM(C3:M3)</f>
        <v>32452738085</v>
      </c>
    </row>
    <row r="4" spans="1:14" x14ac:dyDescent="0.35">
      <c r="B4" s="18" t="s">
        <v>72</v>
      </c>
      <c r="C4" s="51">
        <v>11292017762</v>
      </c>
      <c r="D4" s="51">
        <v>1322991644</v>
      </c>
      <c r="E4" s="51">
        <v>2831508051</v>
      </c>
      <c r="F4" s="51">
        <v>134298985</v>
      </c>
      <c r="G4" s="51">
        <v>1725115804</v>
      </c>
      <c r="H4" s="51">
        <v>4014113110.9699998</v>
      </c>
      <c r="I4" s="51">
        <v>6404023278</v>
      </c>
      <c r="J4" s="51">
        <v>785000</v>
      </c>
      <c r="K4" s="51">
        <v>15665271916.99</v>
      </c>
      <c r="L4" s="52">
        <v>10801279929.630001</v>
      </c>
      <c r="M4" s="52">
        <v>67668782</v>
      </c>
      <c r="N4" s="20">
        <f t="shared" ref="N4:N11" si="0">SUM(C4:M4)</f>
        <v>54259074263.589996</v>
      </c>
    </row>
    <row r="5" spans="1:14" x14ac:dyDescent="0.35">
      <c r="B5" s="18" t="s">
        <v>54</v>
      </c>
      <c r="C5" s="51">
        <v>4721679547.3000002</v>
      </c>
      <c r="D5" s="51">
        <v>2255043386</v>
      </c>
      <c r="E5" s="51">
        <v>3082744732</v>
      </c>
      <c r="F5" s="51">
        <v>84200000</v>
      </c>
      <c r="G5" s="51">
        <v>3178264955</v>
      </c>
      <c r="H5" s="51">
        <v>1749739737</v>
      </c>
      <c r="I5" s="51">
        <v>5817713026</v>
      </c>
      <c r="J5" s="51">
        <v>0</v>
      </c>
      <c r="K5" s="51">
        <v>6464951440</v>
      </c>
      <c r="L5" s="52">
        <v>7301800354</v>
      </c>
      <c r="M5" s="52">
        <v>0</v>
      </c>
      <c r="N5" s="20">
        <f t="shared" si="0"/>
        <v>34656137177.300003</v>
      </c>
    </row>
    <row r="6" spans="1:14" x14ac:dyDescent="0.35">
      <c r="B6" s="18" t="s">
        <v>55</v>
      </c>
      <c r="C6" s="51">
        <v>1813707751.7</v>
      </c>
      <c r="D6" s="51">
        <v>369807999</v>
      </c>
      <c r="E6" s="51">
        <v>1030798093</v>
      </c>
      <c r="F6" s="51">
        <v>8000000</v>
      </c>
      <c r="G6" s="51">
        <v>1253324184</v>
      </c>
      <c r="H6" s="51">
        <v>521524008</v>
      </c>
      <c r="I6" s="51">
        <v>1464691041.8899999</v>
      </c>
      <c r="J6" s="51">
        <v>0</v>
      </c>
      <c r="K6" s="51">
        <v>1321977400</v>
      </c>
      <c r="L6" s="52">
        <v>2250374443.8099999</v>
      </c>
      <c r="M6" s="52">
        <v>0</v>
      </c>
      <c r="N6" s="20">
        <f t="shared" si="0"/>
        <v>10034204921.4</v>
      </c>
    </row>
    <row r="7" spans="1:14" x14ac:dyDescent="0.35">
      <c r="B7" s="18" t="s">
        <v>56</v>
      </c>
      <c r="C7" s="51">
        <v>4131105488</v>
      </c>
      <c r="D7" s="51">
        <v>2247757986.75</v>
      </c>
      <c r="E7" s="51">
        <v>4172371208</v>
      </c>
      <c r="F7" s="51">
        <v>0</v>
      </c>
      <c r="G7" s="51">
        <v>7486974655</v>
      </c>
      <c r="H7" s="51">
        <v>3087917760.6399999</v>
      </c>
      <c r="I7" s="51">
        <v>10835327746</v>
      </c>
      <c r="J7" s="51">
        <v>108000000</v>
      </c>
      <c r="K7" s="51">
        <v>14098071947</v>
      </c>
      <c r="L7" s="52">
        <v>19130227203.440002</v>
      </c>
      <c r="M7" s="52">
        <v>119400000</v>
      </c>
      <c r="N7" s="20">
        <f t="shared" si="0"/>
        <v>65417153994.830002</v>
      </c>
    </row>
    <row r="8" spans="1:14" x14ac:dyDescent="0.35">
      <c r="B8" s="18" t="s">
        <v>57</v>
      </c>
      <c r="C8" s="51">
        <v>12014681229</v>
      </c>
      <c r="D8" s="51">
        <v>19677358590</v>
      </c>
      <c r="E8" s="51">
        <v>31749909590</v>
      </c>
      <c r="F8" s="51">
        <v>430000000</v>
      </c>
      <c r="G8" s="51">
        <v>36999450579</v>
      </c>
      <c r="H8" s="51">
        <v>23043712576</v>
      </c>
      <c r="I8" s="51">
        <v>49921994138</v>
      </c>
      <c r="J8" s="51">
        <v>6282000000</v>
      </c>
      <c r="K8" s="51">
        <v>43795986821</v>
      </c>
      <c r="L8" s="52">
        <v>51159359495</v>
      </c>
      <c r="M8" s="52">
        <v>1610000000</v>
      </c>
      <c r="N8" s="20">
        <f t="shared" si="0"/>
        <v>276684453018</v>
      </c>
    </row>
    <row r="9" spans="1:14" x14ac:dyDescent="0.35">
      <c r="B9" s="18" t="s">
        <v>5</v>
      </c>
      <c r="C9" s="51">
        <v>19591141450</v>
      </c>
      <c r="D9" s="51">
        <v>5267642715.0200005</v>
      </c>
      <c r="E9" s="51">
        <v>18522153112</v>
      </c>
      <c r="F9" s="51">
        <v>865734688</v>
      </c>
      <c r="G9" s="51">
        <v>13279116120</v>
      </c>
      <c r="H9" s="51">
        <v>4232212770.3899999</v>
      </c>
      <c r="I9" s="51">
        <v>5853328575.1100006</v>
      </c>
      <c r="J9" s="51">
        <v>42162416</v>
      </c>
      <c r="K9" s="51">
        <v>6035184230.0100002</v>
      </c>
      <c r="L9" s="52">
        <v>11112348632.119999</v>
      </c>
      <c r="M9" s="52">
        <v>339858049</v>
      </c>
      <c r="N9" s="20">
        <f t="shared" si="0"/>
        <v>85140882757.649994</v>
      </c>
    </row>
    <row r="10" spans="1:14" x14ac:dyDescent="0.35">
      <c r="B10" s="18" t="s">
        <v>58</v>
      </c>
      <c r="C10" s="51">
        <v>1040013160</v>
      </c>
      <c r="D10" s="51">
        <v>692967809.23000002</v>
      </c>
      <c r="E10" s="51">
        <v>795301406</v>
      </c>
      <c r="F10" s="51">
        <v>16966327</v>
      </c>
      <c r="G10" s="51">
        <v>843248358</v>
      </c>
      <c r="H10" s="51">
        <v>885263678</v>
      </c>
      <c r="I10" s="51">
        <v>1728810883</v>
      </c>
      <c r="J10" s="51">
        <v>0</v>
      </c>
      <c r="K10" s="51">
        <v>2560620122</v>
      </c>
      <c r="L10" s="52">
        <v>3127127558</v>
      </c>
      <c r="M10" s="52">
        <v>0</v>
      </c>
      <c r="N10" s="20">
        <f t="shared" si="0"/>
        <v>11690319301.23</v>
      </c>
    </row>
    <row r="11" spans="1:14" x14ac:dyDescent="0.35">
      <c r="B11" s="18" t="s">
        <v>59</v>
      </c>
      <c r="C11" s="52">
        <v>0</v>
      </c>
      <c r="D11" s="52">
        <v>300000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20">
        <f t="shared" si="0"/>
        <v>300000</v>
      </c>
    </row>
    <row r="12" spans="1:14" x14ac:dyDescent="0.35">
      <c r="A12" s="17"/>
      <c r="B12" s="18"/>
      <c r="C12" s="33">
        <f>SUM(C3:C11)</f>
        <v>55785000000</v>
      </c>
      <c r="D12" s="33">
        <f t="shared" ref="D12:N12" si="1">SUM(D3:D11)</f>
        <v>31907817562</v>
      </c>
      <c r="E12" s="33">
        <f t="shared" si="1"/>
        <v>66772258558</v>
      </c>
      <c r="F12" s="33">
        <f t="shared" si="1"/>
        <v>1685000000</v>
      </c>
      <c r="G12" s="33">
        <f t="shared" si="1"/>
        <v>78454661313</v>
      </c>
      <c r="H12" s="33">
        <f t="shared" si="1"/>
        <v>37941184999</v>
      </c>
      <c r="I12" s="33">
        <f t="shared" si="1"/>
        <v>85244466840</v>
      </c>
      <c r="J12" s="33">
        <f t="shared" si="1"/>
        <v>6452947416</v>
      </c>
      <c r="K12" s="33">
        <f t="shared" si="1"/>
        <v>96619999999.999985</v>
      </c>
      <c r="L12" s="33">
        <f t="shared" si="1"/>
        <v>107230000000</v>
      </c>
      <c r="M12" s="33">
        <f t="shared" si="1"/>
        <v>2241926831</v>
      </c>
      <c r="N12" s="33">
        <f t="shared" si="1"/>
        <v>570335263519</v>
      </c>
    </row>
    <row r="13" spans="1:14" x14ac:dyDescent="0.35">
      <c r="C13" s="26"/>
      <c r="D13" s="26"/>
      <c r="E13" s="26"/>
      <c r="F13" s="26"/>
      <c r="G13" s="26"/>
      <c r="H13" s="26"/>
      <c r="I13" s="26"/>
      <c r="J13" s="26"/>
      <c r="K13" s="26"/>
      <c r="L13" s="42"/>
      <c r="M13" s="42"/>
    </row>
    <row r="14" spans="1:14" x14ac:dyDescent="0.35">
      <c r="C14" s="34"/>
      <c r="D14" s="34"/>
      <c r="E14" s="34"/>
      <c r="F14" s="34"/>
      <c r="G14" s="34"/>
      <c r="H14" s="34"/>
      <c r="I14" s="34"/>
      <c r="J14" s="34"/>
      <c r="K14" s="34"/>
      <c r="L14" s="42"/>
      <c r="M14" s="42"/>
    </row>
    <row r="15" spans="1:14" x14ac:dyDescent="0.35"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</row>
    <row r="16" spans="1:14" x14ac:dyDescent="0.35"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</row>
    <row r="17" spans="3:13" x14ac:dyDescent="0.35"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</row>
    <row r="18" spans="3:13" x14ac:dyDescent="0.35"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</row>
    <row r="19" spans="3:13" x14ac:dyDescent="0.35"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</row>
    <row r="20" spans="3:13" x14ac:dyDescent="0.35"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</row>
    <row r="21" spans="3:13" x14ac:dyDescent="0.35"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</row>
    <row r="22" spans="3:13" x14ac:dyDescent="0.35"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</row>
    <row r="23" spans="3:13" x14ac:dyDescent="0.35"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</row>
    <row r="24" spans="3:13" x14ac:dyDescent="0.35"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7"/>
  <sheetViews>
    <sheetView topLeftCell="C1" workbookViewId="0">
      <selection activeCell="C12" sqref="C12:N12"/>
    </sheetView>
  </sheetViews>
  <sheetFormatPr defaultColWidth="9.1796875" defaultRowHeight="14.5" x14ac:dyDescent="0.35"/>
  <cols>
    <col min="1" max="1" width="18.1796875" style="15" bestFit="1" customWidth="1"/>
    <col min="2" max="2" width="29.7265625" style="15" bestFit="1" customWidth="1"/>
    <col min="3" max="3" width="11.26953125" style="15" bestFit="1" customWidth="1"/>
    <col min="4" max="4" width="11" style="15" bestFit="1" customWidth="1"/>
    <col min="5" max="5" width="11" style="15" customWidth="1"/>
    <col min="6" max="6" width="11" style="15" bestFit="1" customWidth="1"/>
    <col min="7" max="9" width="11.26953125" style="15" bestFit="1" customWidth="1"/>
    <col min="10" max="10" width="11.26953125" style="15" customWidth="1"/>
    <col min="11" max="11" width="11.7265625" style="28" customWidth="1"/>
    <col min="12" max="13" width="11.08984375" style="28" bestFit="1" customWidth="1"/>
    <col min="14" max="16384" width="9.1796875" style="28"/>
  </cols>
  <sheetData>
    <row r="1" spans="1:14" x14ac:dyDescent="0.35">
      <c r="A1" s="39" t="str">
        <f>'Fixed rate bond (Values)'!A1</f>
        <v>28 March 2024</v>
      </c>
    </row>
    <row r="2" spans="1:14" x14ac:dyDescent="0.35">
      <c r="A2" s="17"/>
      <c r="B2" s="18"/>
      <c r="C2" s="22" t="s">
        <v>60</v>
      </c>
      <c r="D2" s="22" t="s">
        <v>61</v>
      </c>
      <c r="E2" s="22" t="s">
        <v>67</v>
      </c>
      <c r="F2" s="22" t="s">
        <v>79</v>
      </c>
      <c r="G2" s="22" t="s">
        <v>62</v>
      </c>
      <c r="H2" s="22" t="s">
        <v>63</v>
      </c>
      <c r="I2" s="22" t="s">
        <v>64</v>
      </c>
      <c r="J2" s="22" t="s">
        <v>81</v>
      </c>
      <c r="K2" s="22" t="s">
        <v>65</v>
      </c>
      <c r="L2" s="43" t="s">
        <v>66</v>
      </c>
      <c r="M2" s="43" t="s">
        <v>82</v>
      </c>
      <c r="N2" s="43" t="s">
        <v>71</v>
      </c>
    </row>
    <row r="3" spans="1:14" x14ac:dyDescent="0.35">
      <c r="B3" s="18" t="s">
        <v>53</v>
      </c>
      <c r="C3" s="53">
        <v>2.1164356224791611E-2</v>
      </c>
      <c r="D3" s="53">
        <v>2.3175333711342974E-3</v>
      </c>
      <c r="E3" s="53">
        <v>6.8703267870072277E-2</v>
      </c>
      <c r="F3" s="53">
        <v>8.6528189910979228E-2</v>
      </c>
      <c r="G3" s="53">
        <v>0.17448506473549322</v>
      </c>
      <c r="H3" s="53">
        <v>1.0719258188976418E-2</v>
      </c>
      <c r="I3" s="53">
        <v>3.7757033052258103E-2</v>
      </c>
      <c r="J3" s="53">
        <v>3.0993588992233624E-3</v>
      </c>
      <c r="K3" s="53">
        <v>6.9115463910163544E-2</v>
      </c>
      <c r="L3" s="53">
        <v>2.1892030066212813E-2</v>
      </c>
      <c r="M3" s="53">
        <v>4.683471313520312E-2</v>
      </c>
      <c r="N3" s="53">
        <v>5.6901160003266879E-2</v>
      </c>
    </row>
    <row r="4" spans="1:14" x14ac:dyDescent="0.35">
      <c r="B4" s="18" t="s">
        <v>72</v>
      </c>
      <c r="C4" s="53">
        <v>0.20242032377879357</v>
      </c>
      <c r="D4" s="53">
        <v>4.1462931190116598E-2</v>
      </c>
      <c r="E4" s="53">
        <v>4.2405455680976908E-2</v>
      </c>
      <c r="F4" s="53">
        <v>7.9702661721068255E-2</v>
      </c>
      <c r="G4" s="53">
        <v>2.1988697358816423E-2</v>
      </c>
      <c r="H4" s="53">
        <v>0.10579830627524675</v>
      </c>
      <c r="I4" s="53">
        <v>7.5125383680562652E-2</v>
      </c>
      <c r="J4" s="53">
        <v>1.2164983679451697E-4</v>
      </c>
      <c r="K4" s="53">
        <v>0.16213280808310912</v>
      </c>
      <c r="L4" s="53">
        <v>0.10073001892781872</v>
      </c>
      <c r="M4" s="53">
        <v>3.0183314220748537E-2</v>
      </c>
      <c r="N4" s="53">
        <v>9.5135401463357749E-2</v>
      </c>
    </row>
    <row r="5" spans="1:14" x14ac:dyDescent="0.35">
      <c r="B5" s="18" t="s">
        <v>54</v>
      </c>
      <c r="C5" s="53">
        <v>8.4640665901227929E-2</v>
      </c>
      <c r="D5" s="53">
        <v>7.0673695611372697E-2</v>
      </c>
      <c r="E5" s="53">
        <v>4.6168046409906197E-2</v>
      </c>
      <c r="F5" s="53">
        <v>4.9970326409495551E-2</v>
      </c>
      <c r="G5" s="53">
        <v>4.051084921927206E-2</v>
      </c>
      <c r="H5" s="53">
        <v>4.6117160996582397E-2</v>
      </c>
      <c r="I5" s="53">
        <v>6.8247397651270247E-2</v>
      </c>
      <c r="J5" s="53">
        <v>0</v>
      </c>
      <c r="K5" s="53">
        <v>6.6911109915131453E-2</v>
      </c>
      <c r="L5" s="53">
        <v>6.8094752904970621E-2</v>
      </c>
      <c r="M5" s="53">
        <v>0</v>
      </c>
      <c r="N5" s="53">
        <v>6.0764500100291406E-2</v>
      </c>
    </row>
    <row r="6" spans="1:14" x14ac:dyDescent="0.35">
      <c r="B6" s="18" t="s">
        <v>55</v>
      </c>
      <c r="C6" s="53">
        <v>3.2512463058169759E-2</v>
      </c>
      <c r="D6" s="53">
        <v>1.1589886969907202E-2</v>
      </c>
      <c r="E6" s="53">
        <v>1.543752024060447E-2</v>
      </c>
      <c r="F6" s="53">
        <v>4.747774480712166E-3</v>
      </c>
      <c r="G6" s="53">
        <v>1.5975139819924544E-2</v>
      </c>
      <c r="H6" s="53">
        <v>1.3745590919570529E-2</v>
      </c>
      <c r="I6" s="53">
        <v>1.7182241806253051E-2</v>
      </c>
      <c r="J6" s="53">
        <v>0</v>
      </c>
      <c r="K6" s="53">
        <v>1.3682233492030637E-2</v>
      </c>
      <c r="L6" s="53">
        <v>2.0986425849202649E-2</v>
      </c>
      <c r="M6" s="53">
        <v>0</v>
      </c>
      <c r="N6" s="53">
        <v>1.7593520098140875E-2</v>
      </c>
    </row>
    <row r="7" spans="1:14" x14ac:dyDescent="0.35">
      <c r="B7" s="18" t="s">
        <v>56</v>
      </c>
      <c r="C7" s="53">
        <v>7.4054055534641935E-2</v>
      </c>
      <c r="D7" s="53">
        <v>7.0445369144485903E-2</v>
      </c>
      <c r="E7" s="53">
        <v>6.2486596950674919E-2</v>
      </c>
      <c r="F7" s="53">
        <v>0</v>
      </c>
      <c r="G7" s="53">
        <v>9.5430590479898006E-2</v>
      </c>
      <c r="H7" s="53">
        <v>8.1386961443649875E-2</v>
      </c>
      <c r="I7" s="53">
        <v>0.12710886873557928</v>
      </c>
      <c r="J7" s="53">
        <v>1.6736538055806157E-2</v>
      </c>
      <c r="K7" s="53">
        <v>0.14591256413785969</v>
      </c>
      <c r="L7" s="53">
        <v>0.17840368556784483</v>
      </c>
      <c r="M7" s="53">
        <v>5.3257759508030973E-2</v>
      </c>
      <c r="N7" s="53">
        <v>0.11469947271224745</v>
      </c>
    </row>
    <row r="8" spans="1:14" x14ac:dyDescent="0.35">
      <c r="B8" s="18" t="s">
        <v>57</v>
      </c>
      <c r="C8" s="53">
        <v>0.2153747643452541</v>
      </c>
      <c r="D8" s="53">
        <v>0.61669396698050483</v>
      </c>
      <c r="E8" s="53">
        <v>0.47549551678593077</v>
      </c>
      <c r="F8" s="53">
        <v>0.25519287833827892</v>
      </c>
      <c r="G8" s="53">
        <v>0.47160296099409915</v>
      </c>
      <c r="H8" s="53">
        <v>0.60735352827296651</v>
      </c>
      <c r="I8" s="53">
        <v>0.58563324974160869</v>
      </c>
      <c r="J8" s="53">
        <v>0.97350863024605805</v>
      </c>
      <c r="K8" s="53">
        <v>0.45328075782446703</v>
      </c>
      <c r="L8" s="53">
        <v>0.47709931451086451</v>
      </c>
      <c r="M8" s="53">
        <v>0.71813226807311448</v>
      </c>
      <c r="N8" s="53">
        <v>0.48512597890377962</v>
      </c>
    </row>
    <row r="9" spans="1:14" x14ac:dyDescent="0.35">
      <c r="B9" s="18" t="s">
        <v>5</v>
      </c>
      <c r="C9" s="53">
        <v>0.35119013085955003</v>
      </c>
      <c r="D9" s="53">
        <v>0.16508940809832753</v>
      </c>
      <c r="E9" s="53">
        <v>0.27739294000233961</v>
      </c>
      <c r="F9" s="53">
        <v>0.51378913234421364</v>
      </c>
      <c r="G9" s="53">
        <v>0.16925847231717817</v>
      </c>
      <c r="H9" s="53">
        <v>0.111546668099627</v>
      </c>
      <c r="I9" s="53">
        <v>6.8665202471105052E-2</v>
      </c>
      <c r="J9" s="53">
        <v>6.533822962117874E-3</v>
      </c>
      <c r="K9" s="53">
        <v>6.2463094907990076E-2</v>
      </c>
      <c r="L9" s="53">
        <v>0.1036309673796512</v>
      </c>
      <c r="M9" s="53">
        <v>0.15159194506290291</v>
      </c>
      <c r="N9" s="53">
        <v>0.14928216472592989</v>
      </c>
    </row>
    <row r="10" spans="1:14" x14ac:dyDescent="0.35">
      <c r="B10" s="18" t="s">
        <v>58</v>
      </c>
      <c r="C10" s="53">
        <v>1.8643240297571032E-2</v>
      </c>
      <c r="D10" s="53">
        <v>2.17178065495547E-2</v>
      </c>
      <c r="E10" s="53">
        <v>1.1910656059494857E-2</v>
      </c>
      <c r="F10" s="53">
        <v>1.0069036795252225E-2</v>
      </c>
      <c r="G10" s="53">
        <v>1.0748225075318413E-2</v>
      </c>
      <c r="H10" s="53">
        <v>2.3332525803380483E-2</v>
      </c>
      <c r="I10" s="53">
        <v>2.0280622861362951E-2</v>
      </c>
      <c r="J10" s="53">
        <v>0</v>
      </c>
      <c r="K10" s="53">
        <v>2.6501967729248607E-2</v>
      </c>
      <c r="L10" s="53">
        <v>2.9162804793434673E-2</v>
      </c>
      <c r="M10" s="53">
        <v>0</v>
      </c>
      <c r="N10" s="53">
        <v>2.04972759865839E-2</v>
      </c>
    </row>
    <row r="11" spans="1:14" x14ac:dyDescent="0.35">
      <c r="B11" s="18" t="s">
        <v>59</v>
      </c>
      <c r="C11" s="53">
        <v>0</v>
      </c>
      <c r="D11" s="53">
        <v>9.4020845962614255E-6</v>
      </c>
      <c r="E11" s="53">
        <v>0</v>
      </c>
      <c r="F11" s="53">
        <v>0</v>
      </c>
      <c r="G11" s="53">
        <v>0</v>
      </c>
      <c r="H11" s="53">
        <v>0</v>
      </c>
      <c r="I11" s="53">
        <v>0</v>
      </c>
      <c r="J11" s="53">
        <v>0</v>
      </c>
      <c r="K11" s="53">
        <v>0</v>
      </c>
      <c r="L11" s="53">
        <v>0</v>
      </c>
      <c r="M11" s="53">
        <v>0</v>
      </c>
      <c r="N11" s="53">
        <v>5.2600640217998006E-7</v>
      </c>
    </row>
    <row r="12" spans="1:14" x14ac:dyDescent="0.35">
      <c r="B12" s="23"/>
      <c r="C12" s="21">
        <f>SUM(C3:C11)</f>
        <v>0.99999999999999989</v>
      </c>
      <c r="D12" s="21">
        <f t="shared" ref="D12:N12" si="0">SUM(D3:D11)</f>
        <v>0.99999999999999989</v>
      </c>
      <c r="E12" s="21">
        <f t="shared" si="0"/>
        <v>1</v>
      </c>
      <c r="F12" s="21">
        <f t="shared" si="0"/>
        <v>0.99999999999999989</v>
      </c>
      <c r="G12" s="21">
        <f t="shared" si="0"/>
        <v>0.99999999999999989</v>
      </c>
      <c r="H12" s="21">
        <f t="shared" si="0"/>
        <v>1</v>
      </c>
      <c r="I12" s="21">
        <f t="shared" si="0"/>
        <v>1</v>
      </c>
      <c r="J12" s="21">
        <f t="shared" si="0"/>
        <v>1</v>
      </c>
      <c r="K12" s="21">
        <f t="shared" si="0"/>
        <v>1.0000000000000002</v>
      </c>
      <c r="L12" s="21">
        <f t="shared" si="0"/>
        <v>1</v>
      </c>
      <c r="M12" s="21">
        <f t="shared" si="0"/>
        <v>1</v>
      </c>
      <c r="N12" s="21">
        <f t="shared" si="0"/>
        <v>1</v>
      </c>
    </row>
    <row r="13" spans="1:14" x14ac:dyDescent="0.35">
      <c r="C13" s="30"/>
      <c r="D13" s="30"/>
      <c r="E13" s="30"/>
      <c r="F13" s="30"/>
      <c r="G13" s="30"/>
      <c r="H13" s="30"/>
      <c r="I13" s="30"/>
      <c r="J13" s="30"/>
    </row>
    <row r="17" spans="2:10" x14ac:dyDescent="0.35">
      <c r="B17" s="28"/>
      <c r="C17" s="28"/>
      <c r="D17" s="28"/>
      <c r="E17" s="28"/>
      <c r="F17" s="28"/>
      <c r="G17" s="28"/>
      <c r="H17" s="28"/>
      <c r="I17" s="28"/>
      <c r="J17" s="28"/>
    </row>
    <row r="18" spans="2:10" x14ac:dyDescent="0.35">
      <c r="B18" s="28"/>
      <c r="C18" s="28"/>
      <c r="D18" s="28"/>
      <c r="E18" s="28"/>
      <c r="F18" s="28"/>
      <c r="G18" s="28"/>
      <c r="H18" s="28"/>
      <c r="I18" s="28"/>
      <c r="J18" s="28"/>
    </row>
    <row r="19" spans="2:10" x14ac:dyDescent="0.35">
      <c r="B19" s="28"/>
      <c r="C19" s="28"/>
      <c r="D19" s="28"/>
      <c r="E19" s="28"/>
      <c r="F19" s="28"/>
      <c r="G19" s="28"/>
      <c r="H19" s="28"/>
      <c r="I19" s="28"/>
      <c r="J19" s="28"/>
    </row>
    <row r="20" spans="2:10" x14ac:dyDescent="0.35">
      <c r="B20" s="28"/>
      <c r="C20" s="28"/>
      <c r="D20" s="28"/>
      <c r="E20" s="28"/>
      <c r="F20" s="28"/>
      <c r="G20" s="28"/>
      <c r="H20" s="28"/>
      <c r="I20" s="28"/>
      <c r="J20" s="28"/>
    </row>
    <row r="21" spans="2:10" x14ac:dyDescent="0.35">
      <c r="B21" s="28"/>
      <c r="C21" s="28"/>
      <c r="D21" s="28"/>
      <c r="E21" s="28"/>
      <c r="F21" s="28"/>
      <c r="G21" s="28"/>
      <c r="H21" s="28"/>
      <c r="I21" s="28"/>
      <c r="J21" s="28"/>
    </row>
    <row r="22" spans="2:10" x14ac:dyDescent="0.35">
      <c r="B22" s="28"/>
      <c r="C22" s="28"/>
      <c r="D22" s="28"/>
      <c r="E22" s="28"/>
      <c r="F22" s="28"/>
      <c r="G22" s="28"/>
      <c r="H22" s="28"/>
      <c r="I22" s="28"/>
      <c r="J22" s="28"/>
    </row>
    <row r="23" spans="2:10" x14ac:dyDescent="0.35">
      <c r="B23" s="28"/>
      <c r="C23" s="28"/>
      <c r="D23" s="28"/>
      <c r="E23" s="28"/>
      <c r="F23" s="28"/>
      <c r="G23" s="28"/>
      <c r="H23" s="28"/>
      <c r="I23" s="28"/>
      <c r="J23" s="28"/>
    </row>
    <row r="24" spans="2:10" x14ac:dyDescent="0.35">
      <c r="B24" s="28"/>
      <c r="C24" s="28"/>
      <c r="D24" s="28"/>
      <c r="E24" s="28"/>
      <c r="F24" s="28"/>
      <c r="G24" s="28"/>
      <c r="H24" s="28"/>
      <c r="I24" s="28"/>
      <c r="J24" s="28"/>
    </row>
    <row r="25" spans="2:10" x14ac:dyDescent="0.35">
      <c r="B25" s="28"/>
      <c r="C25" s="28"/>
      <c r="D25" s="28"/>
      <c r="E25" s="28"/>
      <c r="F25" s="28"/>
      <c r="G25" s="28"/>
      <c r="H25" s="28"/>
      <c r="I25" s="28"/>
      <c r="J25" s="28"/>
    </row>
    <row r="26" spans="2:10" x14ac:dyDescent="0.35">
      <c r="B26" s="28"/>
      <c r="C26" s="28"/>
      <c r="D26" s="28"/>
      <c r="E26" s="28"/>
      <c r="F26" s="28"/>
      <c r="G26" s="28"/>
      <c r="H26" s="28"/>
      <c r="I26" s="28"/>
      <c r="J26" s="28"/>
    </row>
    <row r="27" spans="2:10" x14ac:dyDescent="0.35">
      <c r="B27" s="28"/>
      <c r="C27" s="28"/>
      <c r="D27" s="28"/>
      <c r="E27" s="28"/>
      <c r="F27" s="28"/>
      <c r="G27" s="28"/>
      <c r="H27" s="28"/>
      <c r="I27" s="28"/>
      <c r="J27" s="28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7"/>
  <sheetViews>
    <sheetView workbookViewId="0">
      <selection activeCell="F7" sqref="F7"/>
    </sheetView>
  </sheetViews>
  <sheetFormatPr defaultColWidth="9.1796875" defaultRowHeight="14.5" x14ac:dyDescent="0.35"/>
  <cols>
    <col min="1" max="1" width="18.1796875" style="15" bestFit="1" customWidth="1"/>
    <col min="2" max="2" width="29.7265625" style="15" bestFit="1" customWidth="1"/>
    <col min="3" max="4" width="15.54296875" style="15" bestFit="1" customWidth="1"/>
    <col min="5" max="5" width="15.6328125" style="15" bestFit="1" customWidth="1"/>
    <col min="6" max="6" width="14.6328125" style="15" bestFit="1" customWidth="1"/>
    <col min="7" max="7" width="11" style="15" bestFit="1" customWidth="1"/>
    <col min="8" max="10" width="11.26953125" style="15" bestFit="1" customWidth="1"/>
    <col min="11" max="11" width="11.7265625" style="28" customWidth="1"/>
    <col min="12" max="16384" width="9.1796875" style="28"/>
  </cols>
  <sheetData>
    <row r="1" spans="1:13" x14ac:dyDescent="0.35">
      <c r="A1" s="39" t="str">
        <f>'Fixed rate bond (Values)'!A1</f>
        <v>28 March 2024</v>
      </c>
    </row>
    <row r="2" spans="1:13" x14ac:dyDescent="0.35">
      <c r="A2" s="17"/>
      <c r="B2" s="18" t="s">
        <v>40</v>
      </c>
      <c r="C2" s="18" t="s">
        <v>76</v>
      </c>
      <c r="D2" s="57" t="s">
        <v>80</v>
      </c>
      <c r="E2" s="57" t="s">
        <v>52</v>
      </c>
      <c r="K2" s="15"/>
      <c r="L2" s="15"/>
    </row>
    <row r="3" spans="1:13" x14ac:dyDescent="0.35">
      <c r="B3" s="18" t="s">
        <v>53</v>
      </c>
      <c r="C3" s="51">
        <v>444814011</v>
      </c>
      <c r="D3" s="50">
        <v>267520000</v>
      </c>
      <c r="E3" s="60">
        <f>SUM(C3:D3)</f>
        <v>712334011</v>
      </c>
      <c r="K3" s="15"/>
      <c r="L3" s="15"/>
      <c r="M3" s="54"/>
    </row>
    <row r="4" spans="1:13" x14ac:dyDescent="0.35">
      <c r="B4" s="18" t="s">
        <v>72</v>
      </c>
      <c r="C4" s="51">
        <v>54309000000</v>
      </c>
      <c r="D4" s="50">
        <v>25597050000</v>
      </c>
      <c r="E4" s="60">
        <f t="shared" ref="E4:E11" si="0">SUM(C4:D4)</f>
        <v>79906050000</v>
      </c>
      <c r="K4" s="15"/>
      <c r="L4" s="15"/>
      <c r="M4" s="54"/>
    </row>
    <row r="5" spans="1:13" x14ac:dyDescent="0.35">
      <c r="B5" s="18" t="s">
        <v>54</v>
      </c>
      <c r="C5" s="51">
        <v>1333750000</v>
      </c>
      <c r="D5" s="50">
        <v>1591870000</v>
      </c>
      <c r="E5" s="60">
        <f t="shared" si="0"/>
        <v>2925620000</v>
      </c>
      <c r="K5" s="15"/>
      <c r="L5" s="15"/>
      <c r="M5" s="54"/>
    </row>
    <row r="6" spans="1:13" x14ac:dyDescent="0.35">
      <c r="B6" s="18" t="s">
        <v>55</v>
      </c>
      <c r="C6" s="51">
        <v>1399400000</v>
      </c>
      <c r="D6" s="50">
        <v>216680000</v>
      </c>
      <c r="E6" s="60">
        <f t="shared" si="0"/>
        <v>1616080000</v>
      </c>
      <c r="K6" s="15"/>
      <c r="L6" s="15"/>
      <c r="M6" s="54"/>
    </row>
    <row r="7" spans="1:13" x14ac:dyDescent="0.35">
      <c r="B7" s="18" t="s">
        <v>56</v>
      </c>
      <c r="C7" s="51">
        <v>95414000</v>
      </c>
      <c r="D7" s="50">
        <v>160606932</v>
      </c>
      <c r="E7" s="60">
        <f t="shared" si="0"/>
        <v>256020932</v>
      </c>
      <c r="K7" s="15"/>
      <c r="L7" s="15"/>
      <c r="M7" s="54"/>
    </row>
    <row r="8" spans="1:13" x14ac:dyDescent="0.35">
      <c r="B8" s="18" t="s">
        <v>57</v>
      </c>
      <c r="C8" s="51">
        <v>44530000</v>
      </c>
      <c r="D8" s="50">
        <v>75728094</v>
      </c>
      <c r="E8" s="60">
        <f t="shared" si="0"/>
        <v>120258094</v>
      </c>
      <c r="K8" s="15"/>
      <c r="L8" s="15"/>
      <c r="M8" s="54"/>
    </row>
    <row r="9" spans="1:13" x14ac:dyDescent="0.35">
      <c r="B9" s="18" t="s">
        <v>5</v>
      </c>
      <c r="C9" s="51">
        <v>13268493386</v>
      </c>
      <c r="D9" s="50">
        <v>19256145572</v>
      </c>
      <c r="E9" s="60">
        <f t="shared" si="0"/>
        <v>32524638958</v>
      </c>
      <c r="K9" s="15"/>
      <c r="L9" s="15"/>
      <c r="M9" s="54"/>
    </row>
    <row r="10" spans="1:13" x14ac:dyDescent="0.35">
      <c r="B10" s="18" t="s">
        <v>58</v>
      </c>
      <c r="C10" s="51">
        <v>179598603</v>
      </c>
      <c r="D10" s="50">
        <v>99399402</v>
      </c>
      <c r="E10" s="60">
        <f t="shared" si="0"/>
        <v>278998005</v>
      </c>
      <c r="K10" s="15"/>
      <c r="L10" s="15"/>
      <c r="M10" s="54"/>
    </row>
    <row r="11" spans="1:13" x14ac:dyDescent="0.35">
      <c r="B11" s="19" t="s">
        <v>59</v>
      </c>
      <c r="C11" s="52">
        <v>0</v>
      </c>
      <c r="D11" s="50">
        <v>0</v>
      </c>
      <c r="E11" s="60">
        <f t="shared" si="0"/>
        <v>0</v>
      </c>
      <c r="K11" s="15"/>
      <c r="L11" s="15"/>
      <c r="M11" s="54"/>
    </row>
    <row r="12" spans="1:13" x14ac:dyDescent="0.35">
      <c r="B12" s="19"/>
      <c r="C12" s="20">
        <f>SUM(C3:C11)</f>
        <v>71075000000</v>
      </c>
      <c r="D12" s="20">
        <f>SUM(D3:D11)</f>
        <v>47265000000</v>
      </c>
      <c r="E12" s="20">
        <v>118340000000</v>
      </c>
      <c r="F12" s="26"/>
      <c r="K12" s="15"/>
      <c r="L12" s="15"/>
    </row>
    <row r="13" spans="1:13" x14ac:dyDescent="0.35">
      <c r="C13" s="30"/>
      <c r="D13" s="30"/>
      <c r="K13" s="15"/>
      <c r="L13" s="15"/>
    </row>
    <row r="17" spans="2:10" x14ac:dyDescent="0.35">
      <c r="B17" s="28"/>
      <c r="C17" s="28"/>
      <c r="D17" s="28"/>
      <c r="E17" s="28"/>
      <c r="F17" s="28"/>
      <c r="G17" s="28"/>
      <c r="H17" s="28"/>
      <c r="I17" s="28"/>
      <c r="J17" s="28"/>
    </row>
    <row r="18" spans="2:10" x14ac:dyDescent="0.35">
      <c r="B18" s="28"/>
      <c r="C18" s="28"/>
      <c r="D18" s="28"/>
      <c r="E18" s="28"/>
      <c r="F18" s="28"/>
      <c r="G18" s="28"/>
      <c r="H18" s="28"/>
      <c r="I18" s="28"/>
      <c r="J18" s="28"/>
    </row>
    <row r="19" spans="2:10" x14ac:dyDescent="0.35">
      <c r="B19" s="28"/>
      <c r="C19" s="28"/>
      <c r="D19" s="28"/>
      <c r="E19" s="28"/>
      <c r="F19" s="28"/>
      <c r="G19" s="28"/>
      <c r="H19" s="28"/>
      <c r="I19" s="28"/>
      <c r="J19" s="28"/>
    </row>
    <row r="20" spans="2:10" x14ac:dyDescent="0.35">
      <c r="B20" s="28"/>
      <c r="C20" s="28"/>
      <c r="D20" s="28"/>
      <c r="E20" s="28"/>
      <c r="F20" s="28"/>
      <c r="G20" s="28"/>
      <c r="H20" s="28"/>
      <c r="I20" s="28"/>
      <c r="J20" s="28"/>
    </row>
    <row r="21" spans="2:10" x14ac:dyDescent="0.35">
      <c r="B21" s="28"/>
      <c r="C21" s="28"/>
      <c r="D21" s="28"/>
      <c r="E21" s="28"/>
      <c r="F21" s="28"/>
      <c r="G21" s="28"/>
      <c r="H21" s="28"/>
      <c r="I21" s="28"/>
      <c r="J21" s="28"/>
    </row>
    <row r="22" spans="2:10" x14ac:dyDescent="0.35">
      <c r="B22" s="28"/>
      <c r="C22" s="28"/>
      <c r="D22" s="28"/>
      <c r="E22" s="28"/>
      <c r="F22" s="28"/>
      <c r="G22" s="28"/>
      <c r="H22" s="28"/>
      <c r="I22" s="28"/>
      <c r="J22" s="28"/>
    </row>
    <row r="23" spans="2:10" x14ac:dyDescent="0.35">
      <c r="B23" s="28"/>
      <c r="C23" s="28"/>
      <c r="D23" s="28"/>
      <c r="E23" s="28"/>
      <c r="F23" s="28"/>
      <c r="G23" s="28"/>
      <c r="H23" s="28"/>
      <c r="I23" s="28"/>
      <c r="J23" s="28"/>
    </row>
    <row r="24" spans="2:10" x14ac:dyDescent="0.35">
      <c r="B24" s="28"/>
      <c r="C24" s="28"/>
      <c r="D24" s="28"/>
      <c r="E24" s="28"/>
      <c r="F24" s="28"/>
      <c r="G24" s="28"/>
      <c r="H24" s="28"/>
      <c r="I24" s="28"/>
      <c r="J24" s="28"/>
    </row>
    <row r="25" spans="2:10" x14ac:dyDescent="0.35">
      <c r="B25" s="28"/>
      <c r="C25" s="28"/>
      <c r="D25" s="28"/>
      <c r="E25" s="28"/>
      <c r="F25" s="28"/>
      <c r="G25" s="28"/>
      <c r="H25" s="28"/>
      <c r="I25" s="28"/>
      <c r="J25" s="28"/>
    </row>
    <row r="26" spans="2:10" x14ac:dyDescent="0.35">
      <c r="B26" s="28"/>
      <c r="C26" s="28"/>
      <c r="D26" s="28"/>
      <c r="E26" s="28"/>
      <c r="F26" s="28"/>
      <c r="G26" s="28"/>
      <c r="H26" s="28"/>
      <c r="I26" s="28"/>
      <c r="J26" s="28"/>
    </row>
    <row r="27" spans="2:10" x14ac:dyDescent="0.35">
      <c r="B27" s="28"/>
      <c r="C27" s="28"/>
      <c r="D27" s="28"/>
      <c r="E27" s="28"/>
      <c r="F27" s="28"/>
      <c r="G27" s="28"/>
      <c r="H27" s="28"/>
      <c r="I27" s="28"/>
      <c r="J27" s="2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2"/>
  <sheetViews>
    <sheetView workbookViewId="0">
      <selection activeCell="F14" sqref="F14"/>
    </sheetView>
  </sheetViews>
  <sheetFormatPr defaultColWidth="8.7265625" defaultRowHeight="12.5" x14ac:dyDescent="0.25"/>
  <cols>
    <col min="1" max="1" width="18.7265625" style="15" bestFit="1" customWidth="1"/>
    <col min="2" max="2" width="28" style="15" bestFit="1" customWidth="1"/>
    <col min="3" max="4" width="13.26953125" style="15" bestFit="1" customWidth="1"/>
    <col min="5" max="16384" width="8.7265625" style="15"/>
  </cols>
  <sheetData>
    <row r="1" spans="1:5" ht="14" x14ac:dyDescent="0.3">
      <c r="A1" s="39" t="str">
        <f>'Fixed rate bond (Values)'!A1</f>
        <v>28 March 2024</v>
      </c>
    </row>
    <row r="3" spans="1:5" ht="13" x14ac:dyDescent="0.3">
      <c r="B3" s="18" t="s">
        <v>40</v>
      </c>
      <c r="C3" s="22" t="s">
        <v>76</v>
      </c>
      <c r="D3" s="43" t="s">
        <v>80</v>
      </c>
      <c r="E3" s="43" t="s">
        <v>71</v>
      </c>
    </row>
    <row r="4" spans="1:5" ht="13" x14ac:dyDescent="0.3">
      <c r="B4" s="18" t="s">
        <v>53</v>
      </c>
      <c r="C4" s="53">
        <v>6.2583751107984521E-3</v>
      </c>
      <c r="D4" s="53">
        <v>5.6600021157304555E-3</v>
      </c>
      <c r="E4" s="53">
        <v>6.0193849163427413E-3</v>
      </c>
    </row>
    <row r="5" spans="1:5" ht="13" x14ac:dyDescent="0.3">
      <c r="B5" s="18" t="s">
        <v>72</v>
      </c>
      <c r="C5" s="53">
        <v>0.76410833626450936</v>
      </c>
      <c r="D5" s="53">
        <v>0.54156458267216756</v>
      </c>
      <c r="E5" s="53">
        <v>0.67522435355754606</v>
      </c>
    </row>
    <row r="6" spans="1:5" ht="13" x14ac:dyDescent="0.3">
      <c r="B6" s="18" t="s">
        <v>54</v>
      </c>
      <c r="C6" s="53">
        <v>1.8765388673935984E-2</v>
      </c>
      <c r="D6" s="53">
        <v>3.3679678408970695E-2</v>
      </c>
      <c r="E6" s="53">
        <v>2.4722156498225453E-2</v>
      </c>
    </row>
    <row r="7" spans="1:5" ht="13" x14ac:dyDescent="0.3">
      <c r="B7" s="18" t="s">
        <v>55</v>
      </c>
      <c r="C7" s="53">
        <v>1.9689060851213507E-2</v>
      </c>
      <c r="D7" s="53">
        <v>4.5843647519306042E-3</v>
      </c>
      <c r="E7" s="53">
        <v>1.3656244718607402E-2</v>
      </c>
    </row>
    <row r="8" spans="1:5" ht="13" x14ac:dyDescent="0.3">
      <c r="B8" s="18" t="s">
        <v>56</v>
      </c>
      <c r="C8" s="53">
        <v>1.3424410833626451E-3</v>
      </c>
      <c r="D8" s="53">
        <v>3.3980097746747063E-3</v>
      </c>
      <c r="E8" s="53">
        <v>2.1634352881527803E-3</v>
      </c>
    </row>
    <row r="9" spans="1:5" ht="13" x14ac:dyDescent="0.3">
      <c r="B9" s="18" t="s">
        <v>57</v>
      </c>
      <c r="C9" s="53">
        <v>6.2652128033767148E-4</v>
      </c>
      <c r="D9" s="53">
        <v>1.6022023484608061E-3</v>
      </c>
      <c r="E9" s="53">
        <v>1.0162083319249619E-3</v>
      </c>
    </row>
    <row r="10" spans="1:5" ht="13" x14ac:dyDescent="0.3">
      <c r="B10" s="18" t="s">
        <v>5</v>
      </c>
      <c r="C10" s="53">
        <v>0.18668298819556806</v>
      </c>
      <c r="D10" s="53">
        <v>0.40740813650692903</v>
      </c>
      <c r="E10" s="53">
        <v>0.27484061989183706</v>
      </c>
    </row>
    <row r="11" spans="1:5" ht="13" x14ac:dyDescent="0.3">
      <c r="B11" s="18" t="s">
        <v>58</v>
      </c>
      <c r="C11" s="53">
        <v>2.5268885402743579E-3</v>
      </c>
      <c r="D11" s="53">
        <v>2.1030234211361471E-3</v>
      </c>
      <c r="E11" s="53">
        <v>2.3575967973635289E-3</v>
      </c>
    </row>
    <row r="12" spans="1:5" ht="13" x14ac:dyDescent="0.3">
      <c r="B12" s="18" t="s">
        <v>59</v>
      </c>
      <c r="C12" s="53">
        <v>0</v>
      </c>
      <c r="D12" s="53">
        <v>0</v>
      </c>
      <c r="E12" s="53">
        <v>0</v>
      </c>
    </row>
    <row r="13" spans="1:5" ht="13" x14ac:dyDescent="0.3">
      <c r="B13" s="23"/>
      <c r="C13" s="21">
        <f>SUM(C4:C12)</f>
        <v>1</v>
      </c>
      <c r="D13" s="21">
        <f>SUM(D4:D12)</f>
        <v>1</v>
      </c>
      <c r="E13" s="21">
        <f>SUM(E4:E12)</f>
        <v>1</v>
      </c>
    </row>
    <row r="22" ht="11" customHeight="1" x14ac:dyDescent="0.2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518EE-0B1D-4B21-8AA2-87DFD7616100}">
  <dimension ref="A1:G12"/>
  <sheetViews>
    <sheetView workbookViewId="0">
      <selection activeCell="I11" sqref="I11"/>
    </sheetView>
  </sheetViews>
  <sheetFormatPr defaultRowHeight="14.5" x14ac:dyDescent="0.35"/>
  <cols>
    <col min="1" max="1" width="15.26953125" bestFit="1" customWidth="1"/>
    <col min="2" max="2" width="28" bestFit="1" customWidth="1"/>
    <col min="3" max="3" width="13.6328125" bestFit="1" customWidth="1"/>
    <col min="4" max="6" width="14.26953125" bestFit="1" customWidth="1"/>
    <col min="7" max="7" width="14.6328125" style="65" bestFit="1" customWidth="1"/>
  </cols>
  <sheetData>
    <row r="1" spans="1:7" x14ac:dyDescent="0.35">
      <c r="A1" s="69" t="str">
        <f>'FRN % (Values)'!A1</f>
        <v>28 March 2024</v>
      </c>
    </row>
    <row r="2" spans="1:7" x14ac:dyDescent="0.35">
      <c r="B2" s="18" t="s">
        <v>40</v>
      </c>
      <c r="C2" s="18" t="s">
        <v>85</v>
      </c>
      <c r="D2" s="57" t="s">
        <v>86</v>
      </c>
      <c r="E2" s="57" t="s">
        <v>87</v>
      </c>
      <c r="F2" s="57" t="s">
        <v>88</v>
      </c>
      <c r="G2" s="18" t="s">
        <v>52</v>
      </c>
    </row>
    <row r="3" spans="1:7" x14ac:dyDescent="0.35">
      <c r="B3" s="18" t="s">
        <v>53</v>
      </c>
      <c r="C3" s="51">
        <v>0</v>
      </c>
      <c r="D3" s="50">
        <v>0</v>
      </c>
      <c r="E3" s="50">
        <v>0</v>
      </c>
      <c r="F3" s="50">
        <v>0</v>
      </c>
      <c r="G3" s="57">
        <v>0</v>
      </c>
    </row>
    <row r="4" spans="1:7" x14ac:dyDescent="0.35">
      <c r="B4" s="18" t="s">
        <v>72</v>
      </c>
      <c r="C4" s="51">
        <v>5710300000</v>
      </c>
      <c r="D4" s="50">
        <v>7660000000</v>
      </c>
      <c r="E4" s="50">
        <v>1300000000</v>
      </c>
      <c r="F4" s="50">
        <v>630000000</v>
      </c>
      <c r="G4" s="57">
        <f>SUM(C4:F4)</f>
        <v>15300300000</v>
      </c>
    </row>
    <row r="5" spans="1:7" x14ac:dyDescent="0.35">
      <c r="B5" s="18" t="s">
        <v>54</v>
      </c>
      <c r="C5" s="51">
        <v>0</v>
      </c>
      <c r="D5" s="50">
        <v>30700000</v>
      </c>
      <c r="E5" s="50">
        <v>30700000</v>
      </c>
      <c r="F5" s="50">
        <v>0</v>
      </c>
      <c r="G5" s="57">
        <f t="shared" ref="G5:G11" si="0">SUM(C5:F5)</f>
        <v>61400000</v>
      </c>
    </row>
    <row r="6" spans="1:7" x14ac:dyDescent="0.35">
      <c r="B6" s="18" t="s">
        <v>55</v>
      </c>
      <c r="C6" s="51">
        <v>0</v>
      </c>
      <c r="D6" s="50">
        <v>0</v>
      </c>
      <c r="E6" s="50">
        <v>0</v>
      </c>
      <c r="F6" s="50">
        <v>0</v>
      </c>
      <c r="G6" s="57">
        <f t="shared" si="0"/>
        <v>0</v>
      </c>
    </row>
    <row r="7" spans="1:7" x14ac:dyDescent="0.35">
      <c r="B7" s="18" t="s">
        <v>56</v>
      </c>
      <c r="C7" s="51">
        <v>0</v>
      </c>
      <c r="D7" s="50">
        <v>8500000</v>
      </c>
      <c r="E7" s="50">
        <v>8500000</v>
      </c>
      <c r="F7" s="50">
        <v>0</v>
      </c>
      <c r="G7" s="57">
        <f t="shared" si="0"/>
        <v>17000000</v>
      </c>
    </row>
    <row r="8" spans="1:7" x14ac:dyDescent="0.35">
      <c r="B8" s="18" t="s">
        <v>57</v>
      </c>
      <c r="C8" s="51">
        <v>35000000</v>
      </c>
      <c r="D8" s="50">
        <v>40000000</v>
      </c>
      <c r="E8" s="50">
        <v>97000000</v>
      </c>
      <c r="F8" s="50">
        <v>138000000</v>
      </c>
      <c r="G8" s="57">
        <f t="shared" si="0"/>
        <v>310000000</v>
      </c>
    </row>
    <row r="9" spans="1:7" x14ac:dyDescent="0.35">
      <c r="B9" s="18" t="s">
        <v>5</v>
      </c>
      <c r="C9" s="51">
        <v>1744700000</v>
      </c>
      <c r="D9" s="50">
        <v>1118635400</v>
      </c>
      <c r="E9" s="50">
        <v>1040710000</v>
      </c>
      <c r="F9" s="50">
        <v>783000000</v>
      </c>
      <c r="G9" s="57">
        <f t="shared" si="0"/>
        <v>4687045400</v>
      </c>
    </row>
    <row r="10" spans="1:7" x14ac:dyDescent="0.35">
      <c r="B10" s="18" t="s">
        <v>58</v>
      </c>
      <c r="C10" s="51">
        <v>0</v>
      </c>
      <c r="D10" s="50">
        <v>8164600</v>
      </c>
      <c r="E10" s="50">
        <v>2090000</v>
      </c>
      <c r="F10" s="50">
        <v>0</v>
      </c>
      <c r="G10" s="57">
        <f t="shared" si="0"/>
        <v>10254600</v>
      </c>
    </row>
    <row r="11" spans="1:7" x14ac:dyDescent="0.35">
      <c r="B11" s="19" t="s">
        <v>59</v>
      </c>
      <c r="C11" s="52">
        <v>0</v>
      </c>
      <c r="D11" s="50">
        <v>0</v>
      </c>
      <c r="E11" s="50">
        <v>0</v>
      </c>
      <c r="F11" s="50">
        <v>0</v>
      </c>
      <c r="G11" s="57">
        <f t="shared" si="0"/>
        <v>0</v>
      </c>
    </row>
    <row r="12" spans="1:7" x14ac:dyDescent="0.35">
      <c r="B12" s="19"/>
      <c r="C12" s="20">
        <f>SUM(C3:C11)</f>
        <v>7490000000</v>
      </c>
      <c r="D12" s="20">
        <f t="shared" ref="D12:G12" si="1">SUM(D3:D11)</f>
        <v>8866000000</v>
      </c>
      <c r="E12" s="20">
        <f t="shared" si="1"/>
        <v>2479000000</v>
      </c>
      <c r="F12" s="20">
        <f t="shared" si="1"/>
        <v>1551000000</v>
      </c>
      <c r="G12" s="20">
        <f t="shared" si="1"/>
        <v>20386000000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D1385-483F-4C4E-9DD7-7C62FDE0116A}">
  <dimension ref="A1:G12"/>
  <sheetViews>
    <sheetView workbookViewId="0">
      <selection activeCell="I12" sqref="I12"/>
    </sheetView>
  </sheetViews>
  <sheetFormatPr defaultRowHeight="14.5" x14ac:dyDescent="0.35"/>
  <cols>
    <col min="1" max="1" width="15.26953125" bestFit="1" customWidth="1"/>
    <col min="2" max="2" width="28" bestFit="1" customWidth="1"/>
    <col min="3" max="6" width="13.1796875" bestFit="1" customWidth="1"/>
    <col min="7" max="7" width="8.7265625" style="65"/>
  </cols>
  <sheetData>
    <row r="1" spans="1:7" x14ac:dyDescent="0.35">
      <c r="A1" s="69" t="str">
        <f>'Sukuk (Values)'!A1</f>
        <v>28 March 2024</v>
      </c>
    </row>
    <row r="2" spans="1:7" x14ac:dyDescent="0.35">
      <c r="B2" s="18" t="s">
        <v>40</v>
      </c>
      <c r="C2" s="22" t="s">
        <v>85</v>
      </c>
      <c r="D2" s="43" t="s">
        <v>86</v>
      </c>
      <c r="E2" s="43" t="s">
        <v>87</v>
      </c>
      <c r="F2" s="43" t="s">
        <v>88</v>
      </c>
      <c r="G2" s="22" t="s">
        <v>71</v>
      </c>
    </row>
    <row r="3" spans="1:7" x14ac:dyDescent="0.35">
      <c r="B3" s="18" t="s">
        <v>53</v>
      </c>
      <c r="C3" s="53">
        <v>0</v>
      </c>
      <c r="D3" s="53">
        <v>0</v>
      </c>
      <c r="E3" s="53">
        <v>0</v>
      </c>
      <c r="F3" s="53">
        <v>0</v>
      </c>
      <c r="G3" s="70">
        <v>0</v>
      </c>
    </row>
    <row r="4" spans="1:7" x14ac:dyDescent="0.35">
      <c r="B4" s="18" t="s">
        <v>72</v>
      </c>
      <c r="C4" s="53">
        <v>0.76238985313751673</v>
      </c>
      <c r="D4" s="53">
        <v>0.8639747349424769</v>
      </c>
      <c r="E4" s="53">
        <v>0.52440500201694229</v>
      </c>
      <c r="F4" s="53">
        <v>0.40618955512572535</v>
      </c>
      <c r="G4" s="70">
        <v>0.75052977533601495</v>
      </c>
    </row>
    <row r="5" spans="1:7" x14ac:dyDescent="0.35">
      <c r="B5" s="18" t="s">
        <v>54</v>
      </c>
      <c r="C5" s="53">
        <v>0</v>
      </c>
      <c r="D5" s="53">
        <v>3.4626663658921726E-3</v>
      </c>
      <c r="E5" s="53">
        <v>1.2384025816861637E-2</v>
      </c>
      <c r="F5" s="53">
        <v>0</v>
      </c>
      <c r="G5" s="70">
        <v>3.0118708917884823E-3</v>
      </c>
    </row>
    <row r="6" spans="1:7" x14ac:dyDescent="0.35">
      <c r="B6" s="18" t="s">
        <v>55</v>
      </c>
      <c r="C6" s="53">
        <v>0</v>
      </c>
      <c r="D6" s="53">
        <v>0</v>
      </c>
      <c r="E6" s="53">
        <v>0</v>
      </c>
      <c r="F6" s="53">
        <v>0</v>
      </c>
      <c r="G6" s="70">
        <v>0</v>
      </c>
    </row>
    <row r="7" spans="1:7" x14ac:dyDescent="0.35">
      <c r="B7" s="18" t="s">
        <v>56</v>
      </c>
      <c r="C7" s="53">
        <v>0</v>
      </c>
      <c r="D7" s="53">
        <v>9.5871870065418452E-4</v>
      </c>
      <c r="E7" s="53">
        <v>3.4288019362646227E-3</v>
      </c>
      <c r="F7" s="53">
        <v>0</v>
      </c>
      <c r="G7" s="70">
        <v>8.339056215049544E-4</v>
      </c>
    </row>
    <row r="8" spans="1:7" x14ac:dyDescent="0.35">
      <c r="B8" s="18" t="s">
        <v>57</v>
      </c>
      <c r="C8" s="53">
        <v>4.6728971962616819E-3</v>
      </c>
      <c r="D8" s="53">
        <v>4.5116174148432213E-3</v>
      </c>
      <c r="E8" s="53">
        <v>3.9128680919725697E-2</v>
      </c>
      <c r="F8" s="53">
        <v>8.8974854932301742E-2</v>
      </c>
      <c r="G8" s="70">
        <v>1.5206514274502109E-2</v>
      </c>
    </row>
    <row r="9" spans="1:7" x14ac:dyDescent="0.35">
      <c r="B9" s="18" t="s">
        <v>5</v>
      </c>
      <c r="C9" s="53">
        <v>0.23293724966622162</v>
      </c>
      <c r="D9" s="53">
        <v>0.12617137378750282</v>
      </c>
      <c r="E9" s="53">
        <v>0.41981040742234771</v>
      </c>
      <c r="F9" s="53">
        <v>0.50483558994197297</v>
      </c>
      <c r="G9" s="70">
        <v>0.22991491219464338</v>
      </c>
    </row>
    <row r="10" spans="1:7" x14ac:dyDescent="0.35">
      <c r="B10" s="18" t="s">
        <v>58</v>
      </c>
      <c r="C10" s="53">
        <v>0</v>
      </c>
      <c r="D10" s="53">
        <v>9.2088878863072412E-4</v>
      </c>
      <c r="E10" s="53">
        <v>8.4308188785800725E-4</v>
      </c>
      <c r="F10" s="53">
        <v>0</v>
      </c>
      <c r="G10" s="70">
        <v>5.0302168154615912E-4</v>
      </c>
    </row>
    <row r="11" spans="1:7" x14ac:dyDescent="0.35">
      <c r="B11" s="18" t="s">
        <v>59</v>
      </c>
      <c r="C11" s="53">
        <v>0</v>
      </c>
      <c r="D11" s="53">
        <v>0</v>
      </c>
      <c r="E11" s="53">
        <v>0</v>
      </c>
      <c r="F11" s="53">
        <v>0</v>
      </c>
      <c r="G11" s="70">
        <v>0</v>
      </c>
    </row>
    <row r="12" spans="1:7" x14ac:dyDescent="0.35">
      <c r="B12" s="23"/>
      <c r="C12" s="21">
        <f>SUM(C3:C11)</f>
        <v>1</v>
      </c>
      <c r="D12" s="21">
        <f t="shared" ref="D12:G12" si="0">SUM(D3:D11)</f>
        <v>1</v>
      </c>
      <c r="E12" s="21">
        <f t="shared" si="0"/>
        <v>0.99999999999999978</v>
      </c>
      <c r="F12" s="21">
        <f t="shared" si="0"/>
        <v>1</v>
      </c>
      <c r="G12" s="21">
        <f t="shared" si="0"/>
        <v>1.0000000000000002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3BF6373623C04BA568B5D074D14580" ma:contentTypeVersion="0" ma:contentTypeDescription="Create a new document." ma:contentTypeScope="" ma:versionID="3657a5276c15291e9b26e4d8a17567e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AF092F-6DBC-4F79-90E6-EF007825F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3A17855-087F-4350-8D3A-7CB6FC8CCC77}">
  <ds:schemaRefs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86C6B385-B925-4334-8116-D44F50833B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Holdings</vt:lpstr>
      <vt:lpstr>Fixed rate bond (Values)</vt:lpstr>
      <vt:lpstr>Fixed rate bond % (Values)</vt:lpstr>
      <vt:lpstr>ILB (Values)</vt:lpstr>
      <vt:lpstr>ILB % (Values)</vt:lpstr>
      <vt:lpstr>FRN (Values)</vt:lpstr>
      <vt:lpstr>FRN % (Values)</vt:lpstr>
      <vt:lpstr>Sukuk (Values)</vt:lpstr>
      <vt:lpstr>Sukuk % (Values)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Zine Mbatha</dc:creator>
  <cp:lastModifiedBy>Zine Mbatha</cp:lastModifiedBy>
  <dcterms:created xsi:type="dcterms:W3CDTF">2016-03-09T09:54:02Z</dcterms:created>
  <dcterms:modified xsi:type="dcterms:W3CDTF">2024-04-04T18:58:50Z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ersonal Use">
    <vt:lpwstr>1</vt:lpwstr>
  </property>
  <property fmtid="{D5CDD505-2E9C-101B-9397-08002B2CF9AE}" pid="3" name="ContentTypeId">
    <vt:lpwstr>0x010100C08FFC00AA84044D9133115AB46DEBFA</vt:lpwstr>
  </property>
  <property fmtid="{D5CDD505-2E9C-101B-9397-08002B2CF9AE}" pid="4" name="MSIP_Label_93c4247e-447d-4732-af29-2e529a4288f1_Enabled">
    <vt:lpwstr>true</vt:lpwstr>
  </property>
  <property fmtid="{D5CDD505-2E9C-101B-9397-08002B2CF9AE}" pid="5" name="MSIP_Label_93c4247e-447d-4732-af29-2e529a4288f1_SetDate">
    <vt:lpwstr>2023-01-10T07:21:26Z</vt:lpwstr>
  </property>
  <property fmtid="{D5CDD505-2E9C-101B-9397-08002B2CF9AE}" pid="6" name="MSIP_Label_93c4247e-447d-4732-af29-2e529a4288f1_Method">
    <vt:lpwstr>Standard</vt:lpwstr>
  </property>
  <property fmtid="{D5CDD505-2E9C-101B-9397-08002B2CF9AE}" pid="7" name="MSIP_Label_93c4247e-447d-4732-af29-2e529a4288f1_Name">
    <vt:lpwstr>93c4247e-447d-4732-af29-2e529a4288f1</vt:lpwstr>
  </property>
  <property fmtid="{D5CDD505-2E9C-101B-9397-08002B2CF9AE}" pid="8" name="MSIP_Label_93c4247e-447d-4732-af29-2e529a4288f1_SiteId">
    <vt:lpwstr>1a45348f-02b4-4f9a-a7a8-7786f6dd3245</vt:lpwstr>
  </property>
  <property fmtid="{D5CDD505-2E9C-101B-9397-08002B2CF9AE}" pid="9" name="MSIP_Label_93c4247e-447d-4732-af29-2e529a4288f1_ActionId">
    <vt:lpwstr>587be42c-68eb-4191-8a4e-bbf716ed2917</vt:lpwstr>
  </property>
  <property fmtid="{D5CDD505-2E9C-101B-9397-08002B2CF9AE}" pid="10" name="MSIP_Label_93c4247e-447d-4732-af29-2e529a4288f1_ContentBits">
    <vt:lpwstr>0</vt:lpwstr>
  </property>
</Properties>
</file>