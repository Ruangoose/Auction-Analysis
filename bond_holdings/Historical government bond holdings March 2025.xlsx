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5\March\"/>
    </mc:Choice>
  </mc:AlternateContent>
  <xr:revisionPtr revIDLastSave="0" documentId="13_ncr:1_{650D5B4A-CF6A-45BC-9A6F-C33361CC7A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5" i="6"/>
  <c r="E4" i="6"/>
  <c r="E12" i="6" s="1"/>
  <c r="E3" i="6"/>
  <c r="Q12" i="3"/>
  <c r="F12" i="3"/>
  <c r="G12" i="3"/>
  <c r="H12" i="3"/>
  <c r="I12" i="3"/>
  <c r="J12" i="3"/>
  <c r="K12" i="3"/>
  <c r="L12" i="3"/>
  <c r="M12" i="3"/>
  <c r="N12" i="3"/>
  <c r="O12" i="3"/>
  <c r="P12" i="3"/>
  <c r="Q3" i="2"/>
  <c r="Q4" i="2"/>
  <c r="Q5" i="2"/>
  <c r="Q6" i="2"/>
  <c r="Q7" i="2"/>
  <c r="Q8" i="2"/>
  <c r="Q9" i="2"/>
  <c r="Q10" i="2"/>
  <c r="Q11" i="2"/>
  <c r="K12" i="2"/>
  <c r="G12" i="2"/>
  <c r="G3" i="8"/>
  <c r="G4" i="8"/>
  <c r="G5" i="8"/>
  <c r="G6" i="8"/>
  <c r="G7" i="8"/>
  <c r="G8" i="8"/>
  <c r="G9" i="8"/>
  <c r="G10" i="8"/>
  <c r="G11" i="8"/>
  <c r="M6" i="4"/>
  <c r="D12" i="9"/>
  <c r="E12" i="9"/>
  <c r="F12" i="9"/>
  <c r="G12" i="9"/>
  <c r="C12" i="9"/>
  <c r="D12" i="8"/>
  <c r="E12" i="8"/>
  <c r="F12" i="8"/>
  <c r="C12" i="8"/>
  <c r="D13" i="7"/>
  <c r="E13" i="7"/>
  <c r="C13" i="7"/>
  <c r="E6" i="6"/>
  <c r="E7" i="6"/>
  <c r="E8" i="6"/>
  <c r="E11" i="6"/>
  <c r="D12" i="6"/>
  <c r="C12" i="6"/>
  <c r="C12" i="5"/>
  <c r="D12" i="5"/>
  <c r="E12" i="5"/>
  <c r="F12" i="5"/>
  <c r="G12" i="5"/>
  <c r="H12" i="5"/>
  <c r="I12" i="5"/>
  <c r="J12" i="5"/>
  <c r="K12" i="5"/>
  <c r="L12" i="5"/>
  <c r="M12" i="5"/>
  <c r="M4" i="4"/>
  <c r="M5" i="4"/>
  <c r="M3" i="4"/>
  <c r="M12" i="4" s="1"/>
  <c r="M7" i="4"/>
  <c r="M8" i="4"/>
  <c r="M9" i="4"/>
  <c r="M10" i="4"/>
  <c r="M11" i="4"/>
  <c r="C12" i="4"/>
  <c r="D12" i="4"/>
  <c r="E12" i="4"/>
  <c r="F12" i="4"/>
  <c r="G12" i="4"/>
  <c r="H12" i="4"/>
  <c r="I12" i="4"/>
  <c r="J12" i="4"/>
  <c r="K12" i="4"/>
  <c r="L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 s="1"/>
  <c r="A1" i="9" s="1"/>
  <c r="A1" i="3"/>
  <c r="G12" i="8" l="1"/>
  <c r="Q12" i="2"/>
</calcChain>
</file>

<file path=xl/sharedStrings.xml><?xml version="1.0" encoding="utf-8"?>
<sst xmlns="http://schemas.openxmlformats.org/spreadsheetml/2006/main" count="344" uniqueCount="93">
  <si>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</si>
  <si>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</si>
  <si>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</si>
  <si>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</si>
  <si>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</si>
  <si>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</si>
  <si>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</si>
  <si>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</si>
  <si>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</si>
  <si>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</si>
  <si>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</si>
  <si>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</si>
  <si>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</si>
  <si>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</si>
  <si>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</si>
  <si>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</si>
  <si>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</si>
  <si>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</si>
  <si>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</si>
  <si>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</si>
  <si>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</si>
  <si>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</si>
  <si>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</si>
  <si>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</si>
  <si>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</si>
  <si>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</si>
  <si>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</si>
  <si>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</si>
  <si>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</si>
  <si>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</si>
  <si>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</si>
  <si>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</si>
  <si>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</si>
  <si>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</si>
  <si>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</si>
  <si>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</si>
  <si>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</si>
  <si>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</si>
  <si>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</si>
  <si>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</si>
  <si>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</si>
  <si>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</si>
  <si>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</si>
  <si>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</si>
  <si>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</si>
  <si>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</si>
  <si>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</si>
  <si>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</si>
  <si>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</si>
  <si>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</si>
  <si>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</si>
  <si>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</si>
  <si>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</si>
  <si>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</si>
  <si>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</si>
  <si>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</si>
  <si>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</si>
  <si>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</si>
  <si>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</si>
  <si>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</si>
  <si>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</si>
  <si>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</si>
  <si>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</si>
  <si>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</si>
  <si>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</si>
  <si>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</si>
  <si>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</si>
  <si>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</si>
  <si>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</si>
  <si>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</si>
  <si>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</si>
  <si>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</si>
  <si>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</si>
  <si>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</si>
  <si>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</si>
  <si>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</si>
  <si>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</si>
  <si>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</si>
  <si>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</si>
  <si>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</si>
  <si>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</si>
  <si>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</si>
  <si>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</si>
  <si>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</si>
  <si>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</si>
  <si>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</si>
  <si>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</si>
  <si>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</si>
  <si>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</si>
  <si>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</si>
  <si>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</si>
  <si>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2025</t>
  </si>
  <si>
    <t>28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</si>
</sst>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&quot;R&quot;\ #,##0;[Red]&quot;R&quot;\ \-#,##0"/>
    <numFmt numFmtId="166" formatCode="_ * #,##0.00_ ;_ * \-#,##0.00_ ;_ * &quot;-&quot;??_ ;_ @_ "/>
    <numFmt numFmtId="167" formatCode="0.0%"/>
    <numFmt numFmtId="168" formatCode="_ * #,##0_ ;_ * \-#,##0_ ;_ * &quot;-&quot;??_ ;_ @_ "/>
    <numFmt numFmtId="169" formatCode="0.0"/>
    <numFmt numFmtId="170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6" fontId="4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4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7" fontId="2" fillId="24" borderId="0" xfId="0" applyNumberFormat="1" applyFont="1" applyFill="1" applyAlignment="1">
      <alignment horizontal="center"/>
    </xf>
    <xf numFmtId="167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7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7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8" fontId="3" fillId="0" borderId="10" xfId="55" applyNumberFormat="1" applyFont="1" applyBorder="1"/>
    <xf numFmtId="9" fontId="3" fillId="0" borderId="10" xfId="55" applyNumberFormat="1" applyFont="1" applyBorder="1"/>
    <xf numFmtId="165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7" fontId="0" fillId="0" borderId="0" xfId="0" applyNumberFormat="1"/>
    <xf numFmtId="168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8" fontId="3" fillId="0" borderId="10" xfId="31" applyNumberFormat="1" applyFont="1" applyBorder="1" applyAlignment="1">
      <alignment horizontal="center"/>
    </xf>
    <xf numFmtId="0" fontId="4" fillId="0" borderId="0" xfId="54"/>
    <xf numFmtId="168" fontId="3" fillId="0" borderId="11" xfId="55" applyNumberFormat="1" applyFont="1" applyBorder="1"/>
    <xf numFmtId="168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9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5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8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8" fontId="0" fillId="0" borderId="0" xfId="0" applyNumberFormat="1"/>
    <xf numFmtId="10" fontId="0" fillId="0" borderId="0" xfId="0" applyNumberFormat="1"/>
    <xf numFmtId="168" fontId="3" fillId="0" borderId="10" xfId="31" applyNumberFormat="1" applyFont="1" applyBorder="1"/>
    <xf numFmtId="168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8" fontId="2" fillId="0" borderId="10" xfId="31" applyNumberFormat="1" applyBorder="1"/>
    <xf numFmtId="168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"/>
  <sheetViews>
    <sheetView tabSelected="1" workbookViewId="0">
      <pane ySplit="1" topLeftCell="A160" activePane="bottomLeft" state="frozen"/>
      <selection pane="bottomLeft" activeCell="D174" sqref="D174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91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topLeftCell="B1" zoomScale="59" workbookViewId="0">
      <selection activeCell="C3" sqref="C3:P11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92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89</v>
      </c>
      <c r="H2" s="41" t="s">
        <v>45</v>
      </c>
      <c r="I2" s="41" t="s">
        <v>46</v>
      </c>
      <c r="J2" s="41" t="s">
        <v>47</v>
      </c>
      <c r="K2" s="41" t="s">
        <v>90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91115859142.949997</v>
      </c>
      <c r="D3" s="64">
        <v>84707133900.48999</v>
      </c>
      <c r="E3" s="64">
        <v>64035523847</v>
      </c>
      <c r="F3" s="64">
        <v>70686336953</v>
      </c>
      <c r="G3" s="64">
        <v>5942202640</v>
      </c>
      <c r="H3" s="64">
        <v>146110052758</v>
      </c>
      <c r="I3" s="64">
        <v>40459712518.32</v>
      </c>
      <c r="J3" s="64">
        <v>102638778276</v>
      </c>
      <c r="K3" s="64">
        <v>7595936301</v>
      </c>
      <c r="L3" s="64">
        <v>113932265292</v>
      </c>
      <c r="M3" s="64">
        <v>45707227753</v>
      </c>
      <c r="N3" s="64">
        <v>81894220475</v>
      </c>
      <c r="O3" s="64">
        <v>106494304896</v>
      </c>
      <c r="P3" s="64">
        <v>15534861837</v>
      </c>
      <c r="Q3" s="54">
        <f>SUM(C3:P3)</f>
        <v>976854416589.76001</v>
      </c>
      <c r="R3" s="51"/>
    </row>
    <row r="4" spans="1:18" x14ac:dyDescent="0.35">
      <c r="B4" s="18" t="s">
        <v>71</v>
      </c>
      <c r="C4" s="64">
        <v>121026510287.64999</v>
      </c>
      <c r="D4" s="64">
        <v>85779850683.529999</v>
      </c>
      <c r="E4" s="64">
        <v>56913265269</v>
      </c>
      <c r="F4" s="64">
        <v>89706678408.199997</v>
      </c>
      <c r="G4" s="64">
        <v>6925682101</v>
      </c>
      <c r="H4" s="64">
        <v>46147058058.800003</v>
      </c>
      <c r="I4" s="64">
        <v>14912713280</v>
      </c>
      <c r="J4" s="64">
        <v>40928709643.690002</v>
      </c>
      <c r="K4" s="64">
        <v>1969344562</v>
      </c>
      <c r="L4" s="64">
        <v>22383738232</v>
      </c>
      <c r="M4" s="64">
        <v>10535188607</v>
      </c>
      <c r="N4" s="64">
        <v>37507145808.099998</v>
      </c>
      <c r="O4" s="64">
        <v>126792773529.58</v>
      </c>
      <c r="P4" s="64">
        <v>11139662735</v>
      </c>
      <c r="Q4" s="54">
        <f t="shared" ref="Q4:Q11" si="0">SUM(C4:P4)</f>
        <v>672668321205.54993</v>
      </c>
    </row>
    <row r="5" spans="1:18" x14ac:dyDescent="0.35">
      <c r="B5" s="18" t="s">
        <v>54</v>
      </c>
      <c r="C5" s="64">
        <v>15539553386.9</v>
      </c>
      <c r="D5" s="64">
        <v>16643449570</v>
      </c>
      <c r="E5" s="64">
        <v>11298080906</v>
      </c>
      <c r="F5" s="64">
        <v>13357527247</v>
      </c>
      <c r="G5" s="64">
        <v>635472359</v>
      </c>
      <c r="H5" s="64">
        <v>12485490614</v>
      </c>
      <c r="I5" s="64">
        <v>7956774425</v>
      </c>
      <c r="J5" s="64">
        <v>21692814094.75</v>
      </c>
      <c r="K5" s="64">
        <v>3273621015</v>
      </c>
      <c r="L5" s="64">
        <v>24344964883</v>
      </c>
      <c r="M5" s="64">
        <v>11132909631</v>
      </c>
      <c r="N5" s="64">
        <v>24920730057</v>
      </c>
      <c r="O5" s="64">
        <v>36855902363</v>
      </c>
      <c r="P5" s="64">
        <v>15657342351</v>
      </c>
      <c r="Q5" s="54">
        <f t="shared" si="0"/>
        <v>215794632902.64999</v>
      </c>
    </row>
    <row r="6" spans="1:18" x14ac:dyDescent="0.35">
      <c r="B6" s="18" t="s">
        <v>55</v>
      </c>
      <c r="C6" s="64">
        <v>2270550588</v>
      </c>
      <c r="D6" s="64">
        <v>3720680057</v>
      </c>
      <c r="E6" s="64">
        <v>2568902859</v>
      </c>
      <c r="F6" s="64">
        <v>4358267308</v>
      </c>
      <c r="G6" s="64">
        <v>691036145</v>
      </c>
      <c r="H6" s="64">
        <v>2660365035</v>
      </c>
      <c r="I6" s="64">
        <v>377032796</v>
      </c>
      <c r="J6" s="64">
        <v>3315266089</v>
      </c>
      <c r="K6" s="64">
        <v>593367310</v>
      </c>
      <c r="L6" s="64">
        <v>2754416204</v>
      </c>
      <c r="M6" s="64">
        <v>808072576</v>
      </c>
      <c r="N6" s="64">
        <v>2436551887</v>
      </c>
      <c r="O6" s="64">
        <v>4280271926</v>
      </c>
      <c r="P6" s="64">
        <v>258124060</v>
      </c>
      <c r="Q6" s="54">
        <f t="shared" si="0"/>
        <v>31092904840</v>
      </c>
    </row>
    <row r="7" spans="1:18" x14ac:dyDescent="0.35">
      <c r="B7" s="18" t="s">
        <v>56</v>
      </c>
      <c r="C7" s="64">
        <v>3260203773.73</v>
      </c>
      <c r="D7" s="64">
        <v>5265973016</v>
      </c>
      <c r="E7" s="64">
        <v>4464172002</v>
      </c>
      <c r="F7" s="64">
        <v>9575603938</v>
      </c>
      <c r="G7" s="64">
        <v>370823072</v>
      </c>
      <c r="H7" s="64">
        <v>9830439985</v>
      </c>
      <c r="I7" s="64">
        <v>4338481009</v>
      </c>
      <c r="J7" s="64">
        <v>10951166877</v>
      </c>
      <c r="K7" s="64">
        <v>961461151</v>
      </c>
      <c r="L7" s="64">
        <v>9430144778</v>
      </c>
      <c r="M7" s="64">
        <v>2792854001</v>
      </c>
      <c r="N7" s="64">
        <v>7538082727</v>
      </c>
      <c r="O7" s="64">
        <v>11828001229</v>
      </c>
      <c r="P7" s="64">
        <v>1489690889</v>
      </c>
      <c r="Q7" s="54">
        <f t="shared" si="0"/>
        <v>82097098447.729996</v>
      </c>
    </row>
    <row r="8" spans="1:18" x14ac:dyDescent="0.35">
      <c r="B8" s="18" t="s">
        <v>57</v>
      </c>
      <c r="C8" s="64">
        <v>13583105283.51</v>
      </c>
      <c r="D8" s="64">
        <v>53227271199</v>
      </c>
      <c r="E8" s="64">
        <v>20153849721</v>
      </c>
      <c r="F8" s="64">
        <v>51059401380</v>
      </c>
      <c r="G8" s="64">
        <v>26960574</v>
      </c>
      <c r="H8" s="64">
        <v>51591040619</v>
      </c>
      <c r="I8" s="64">
        <v>15857456522</v>
      </c>
      <c r="J8" s="64">
        <v>59558344654</v>
      </c>
      <c r="K8" s="64">
        <v>849745040</v>
      </c>
      <c r="L8" s="64">
        <v>42826206870</v>
      </c>
      <c r="M8" s="64">
        <v>9248722914</v>
      </c>
      <c r="N8" s="64">
        <v>52224910345</v>
      </c>
      <c r="O8" s="64">
        <v>70233351339</v>
      </c>
      <c r="P8" s="64">
        <v>7103333660</v>
      </c>
      <c r="Q8" s="54">
        <f t="shared" si="0"/>
        <v>447543700120.51001</v>
      </c>
    </row>
    <row r="9" spans="1:18" x14ac:dyDescent="0.35">
      <c r="B9" s="18" t="s">
        <v>5</v>
      </c>
      <c r="C9" s="64">
        <v>74801914838.699997</v>
      </c>
      <c r="D9" s="64">
        <v>93424094256.980011</v>
      </c>
      <c r="E9" s="64">
        <v>56019403550</v>
      </c>
      <c r="F9" s="64">
        <v>94081279316</v>
      </c>
      <c r="G9" s="64">
        <v>9851171967</v>
      </c>
      <c r="H9" s="64">
        <v>77627373827.199997</v>
      </c>
      <c r="I9" s="64">
        <v>16838559778.68</v>
      </c>
      <c r="J9" s="64">
        <v>84780985112.25</v>
      </c>
      <c r="K9" s="64">
        <v>14073611425</v>
      </c>
      <c r="L9" s="64">
        <v>65274032821</v>
      </c>
      <c r="M9" s="64">
        <v>11940694662</v>
      </c>
      <c r="N9" s="64">
        <v>67109592263</v>
      </c>
      <c r="O9" s="64">
        <v>72259005799.419998</v>
      </c>
      <c r="P9" s="64">
        <v>23551644529</v>
      </c>
      <c r="Q9" s="54">
        <f t="shared" si="0"/>
        <v>761633364146.2301</v>
      </c>
    </row>
    <row r="10" spans="1:18" x14ac:dyDescent="0.35">
      <c r="B10" s="18" t="s">
        <v>58</v>
      </c>
      <c r="C10" s="64">
        <v>2899295806.4499998</v>
      </c>
      <c r="D10" s="64">
        <v>5505006166</v>
      </c>
      <c r="E10" s="64">
        <v>1394663350</v>
      </c>
      <c r="F10" s="64">
        <v>3410400811.8000002</v>
      </c>
      <c r="G10" s="64">
        <v>46651142</v>
      </c>
      <c r="H10" s="64">
        <v>5390031099</v>
      </c>
      <c r="I10" s="64">
        <v>3517821816</v>
      </c>
      <c r="J10" s="64">
        <v>4691000981.3099995</v>
      </c>
      <c r="K10" s="64">
        <v>566749331</v>
      </c>
      <c r="L10" s="64">
        <v>6792422896</v>
      </c>
      <c r="M10" s="64">
        <v>1216186352</v>
      </c>
      <c r="N10" s="64">
        <v>1694213308.9000001</v>
      </c>
      <c r="O10" s="64">
        <v>2460361426</v>
      </c>
      <c r="P10" s="64">
        <v>379849130</v>
      </c>
      <c r="Q10" s="54">
        <f t="shared" si="0"/>
        <v>39964653616.459999</v>
      </c>
    </row>
    <row r="11" spans="1:18" x14ac:dyDescent="0.35">
      <c r="A11" s="17"/>
      <c r="B11" s="19" t="s">
        <v>59</v>
      </c>
      <c r="C11" s="65">
        <v>267763131</v>
      </c>
      <c r="D11" s="65">
        <v>155201182</v>
      </c>
      <c r="E11" s="65">
        <v>299740</v>
      </c>
      <c r="F11" s="65">
        <v>13995589</v>
      </c>
      <c r="G11" s="65">
        <v>0</v>
      </c>
      <c r="H11" s="65">
        <v>588444442</v>
      </c>
      <c r="I11" s="65">
        <v>4000000</v>
      </c>
      <c r="J11" s="65">
        <v>4603183</v>
      </c>
      <c r="K11" s="65">
        <v>0</v>
      </c>
      <c r="L11" s="65">
        <v>34618732</v>
      </c>
      <c r="M11" s="65">
        <v>0</v>
      </c>
      <c r="N11" s="65">
        <v>6974000</v>
      </c>
      <c r="O11" s="65">
        <v>0</v>
      </c>
      <c r="P11" s="65">
        <v>0</v>
      </c>
      <c r="Q11" s="54">
        <f t="shared" si="0"/>
        <v>1075899999</v>
      </c>
    </row>
    <row r="12" spans="1:18" x14ac:dyDescent="0.35">
      <c r="B12" s="19"/>
      <c r="C12" s="20">
        <f>SUM(C3:C11)</f>
        <v>324764756238.89001</v>
      </c>
      <c r="D12" s="20">
        <f t="shared" ref="D12:P12" si="1">SUM(D3:D11)</f>
        <v>348428660031</v>
      </c>
      <c r="E12" s="20">
        <f t="shared" si="1"/>
        <v>216848161244</v>
      </c>
      <c r="F12" s="20">
        <f t="shared" si="1"/>
        <v>336249490951</v>
      </c>
      <c r="G12" s="20">
        <f t="shared" si="1"/>
        <v>24490000000</v>
      </c>
      <c r="H12" s="20">
        <f t="shared" si="1"/>
        <v>352430296438</v>
      </c>
      <c r="I12" s="20">
        <f t="shared" si="1"/>
        <v>104262552145</v>
      </c>
      <c r="J12" s="20">
        <f t="shared" si="1"/>
        <v>328561668911</v>
      </c>
      <c r="K12" s="20">
        <f t="shared" si="1"/>
        <v>29883836135</v>
      </c>
      <c r="L12" s="20">
        <f t="shared" si="1"/>
        <v>287772810708</v>
      </c>
      <c r="M12" s="20">
        <f t="shared" si="1"/>
        <v>93381856496</v>
      </c>
      <c r="N12" s="20">
        <f t="shared" si="1"/>
        <v>275332420871</v>
      </c>
      <c r="O12" s="20">
        <f t="shared" si="1"/>
        <v>431203972508</v>
      </c>
      <c r="P12" s="20">
        <f t="shared" si="1"/>
        <v>75114509191</v>
      </c>
      <c r="Q12" s="20">
        <f>SUM(Q3:Q11)</f>
        <v>3228724991867.8901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B1" zoomScale="74" workbookViewId="0">
      <selection activeCell="C3" sqref="C3:Q11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28 March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89</v>
      </c>
      <c r="H2" s="45" t="s">
        <v>45</v>
      </c>
      <c r="I2" s="45" t="s">
        <v>46</v>
      </c>
      <c r="J2" s="45" t="s">
        <v>47</v>
      </c>
      <c r="K2" s="45" t="s">
        <v>90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0.28055956624778311</v>
      </c>
      <c r="D3" s="67">
        <v>0.24311184359218188</v>
      </c>
      <c r="E3" s="67">
        <v>0.29530120744231952</v>
      </c>
      <c r="F3" s="67">
        <v>0.21021990770329754</v>
      </c>
      <c r="G3" s="67">
        <v>0.24263791915067373</v>
      </c>
      <c r="H3" s="67">
        <v>0.41457858258705027</v>
      </c>
      <c r="I3" s="67">
        <v>0.38805603436650843</v>
      </c>
      <c r="J3" s="67">
        <v>0.31238816936921071</v>
      </c>
      <c r="K3" s="67">
        <v>0.25418210254819418</v>
      </c>
      <c r="L3" s="67">
        <v>0.3959104580161531</v>
      </c>
      <c r="M3" s="67">
        <v>0.48946582846056252</v>
      </c>
      <c r="N3" s="67">
        <v>0.29743762182430905</v>
      </c>
      <c r="O3" s="67">
        <v>0.24696967487706584</v>
      </c>
      <c r="P3" s="67">
        <v>0.20681572713865701</v>
      </c>
      <c r="Q3" s="67">
        <v>0.30255113676455536</v>
      </c>
    </row>
    <row r="4" spans="1:17" x14ac:dyDescent="0.35">
      <c r="B4" s="47" t="s">
        <v>71</v>
      </c>
      <c r="C4" s="67">
        <v>0.37265900305581645</v>
      </c>
      <c r="D4" s="67">
        <v>0.24619057076389209</v>
      </c>
      <c r="E4" s="67">
        <v>0.26245675749567715</v>
      </c>
      <c r="F4" s="67">
        <v>0.26678606458105392</v>
      </c>
      <c r="G4" s="67">
        <v>0.28279632915475705</v>
      </c>
      <c r="H4" s="67">
        <v>0.13093953194491681</v>
      </c>
      <c r="I4" s="67">
        <v>0.14303038793123532</v>
      </c>
      <c r="J4" s="67">
        <v>0.12456933816822276</v>
      </c>
      <c r="K4" s="67">
        <v>6.5899991992443716E-2</v>
      </c>
      <c r="L4" s="67">
        <v>7.7782672299477731E-2</v>
      </c>
      <c r="M4" s="67">
        <v>0.11281836753214768</v>
      </c>
      <c r="N4" s="67">
        <v>0.13622495196696438</v>
      </c>
      <c r="O4" s="67">
        <v>0.29404361187147376</v>
      </c>
      <c r="P4" s="67">
        <v>0.14830240994684848</v>
      </c>
      <c r="Q4" s="66">
        <v>0.20413961563726857</v>
      </c>
    </row>
    <row r="5" spans="1:17" x14ac:dyDescent="0.35">
      <c r="B5" s="47" t="s">
        <v>54</v>
      </c>
      <c r="C5" s="67">
        <v>4.7848644560031746E-2</v>
      </c>
      <c r="D5" s="67">
        <v>4.7767165790894517E-2</v>
      </c>
      <c r="E5" s="67">
        <v>5.2101345204801031E-2</v>
      </c>
      <c r="F5" s="67">
        <v>3.9725048234932579E-2</v>
      </c>
      <c r="G5" s="67">
        <v>2.5948238423846467E-2</v>
      </c>
      <c r="H5" s="67">
        <v>3.5426836853103702E-2</v>
      </c>
      <c r="I5" s="67">
        <v>7.6314786673688517E-2</v>
      </c>
      <c r="J5" s="67">
        <v>6.6023569233287824E-2</v>
      </c>
      <c r="K5" s="67">
        <v>0.10954487235880435</v>
      </c>
      <c r="L5" s="67">
        <v>8.4597863234906423E-2</v>
      </c>
      <c r="M5" s="67">
        <v>0.11921919362865609</v>
      </c>
      <c r="N5" s="67">
        <v>9.0511426072398399E-2</v>
      </c>
      <c r="O5" s="67">
        <v>8.547208447231136E-2</v>
      </c>
      <c r="P5" s="67">
        <v>0.2084463111006524</v>
      </c>
      <c r="Q5" s="66">
        <v>6.7218271418500272E-2</v>
      </c>
    </row>
    <row r="6" spans="1:17" x14ac:dyDescent="0.35">
      <c r="B6" s="47" t="s">
        <v>55</v>
      </c>
      <c r="C6" s="67">
        <v>6.9913700436442421E-3</v>
      </c>
      <c r="D6" s="67">
        <v>1.0678455832734792E-2</v>
      </c>
      <c r="E6" s="67">
        <v>1.1846551265470228E-2</v>
      </c>
      <c r="F6" s="67">
        <v>1.2961409385851261E-2</v>
      </c>
      <c r="G6" s="67">
        <v>2.8217074111882401E-2</v>
      </c>
      <c r="H6" s="67">
        <v>7.5486275212097572E-3</v>
      </c>
      <c r="I6" s="67">
        <v>3.6161861401172398E-3</v>
      </c>
      <c r="J6" s="67">
        <v>1.0090239984439668E-2</v>
      </c>
      <c r="K6" s="67">
        <v>1.9855794527833297E-2</v>
      </c>
      <c r="L6" s="67">
        <v>9.5714956434674314E-3</v>
      </c>
      <c r="M6" s="67">
        <v>8.6534216208757186E-3</v>
      </c>
      <c r="N6" s="67">
        <v>8.8494913867829036E-3</v>
      </c>
      <c r="O6" s="67">
        <v>9.9263276752873369E-3</v>
      </c>
      <c r="P6" s="67">
        <v>3.4364074634854655E-3</v>
      </c>
      <c r="Q6" s="66">
        <v>9.3615198025416065E-3</v>
      </c>
    </row>
    <row r="7" spans="1:17" x14ac:dyDescent="0.35">
      <c r="B7" s="47" t="s">
        <v>56</v>
      </c>
      <c r="C7" s="67">
        <v>1.0038662481380412E-2</v>
      </c>
      <c r="D7" s="67">
        <v>1.5113489847624709E-2</v>
      </c>
      <c r="E7" s="67">
        <v>2.0586626035426065E-2</v>
      </c>
      <c r="F7" s="67">
        <v>2.8477675641731769E-2</v>
      </c>
      <c r="G7" s="67">
        <v>1.5141815924867293E-2</v>
      </c>
      <c r="H7" s="67">
        <v>2.7893288642763955E-2</v>
      </c>
      <c r="I7" s="67">
        <v>4.1611114630748618E-2</v>
      </c>
      <c r="J7" s="67">
        <v>3.333062835143568E-2</v>
      </c>
      <c r="K7" s="67">
        <v>3.2173284134493531E-2</v>
      </c>
      <c r="L7" s="67">
        <v>3.2769408460789809E-2</v>
      </c>
      <c r="M7" s="67">
        <v>2.9907886882926036E-2</v>
      </c>
      <c r="N7" s="67">
        <v>2.7378115164039388E-2</v>
      </c>
      <c r="O7" s="67">
        <v>2.7430176860860342E-2</v>
      </c>
      <c r="P7" s="67">
        <v>1.9832265497628922E-2</v>
      </c>
      <c r="Q7" s="66">
        <v>2.453949994057688E-2</v>
      </c>
    </row>
    <row r="8" spans="1:17" x14ac:dyDescent="0.35">
      <c r="B8" s="47" t="s">
        <v>57</v>
      </c>
      <c r="C8" s="67">
        <v>4.1824443762975803E-2</v>
      </c>
      <c r="D8" s="67">
        <v>0.15276375713256288</v>
      </c>
      <c r="E8" s="67">
        <v>9.2939915217093591E-2</v>
      </c>
      <c r="F8" s="67">
        <v>0.15184975071810783</v>
      </c>
      <c r="G8" s="67">
        <v>1.1008809309922417E-3</v>
      </c>
      <c r="H8" s="67">
        <v>0.14638650859596564</v>
      </c>
      <c r="I8" s="67">
        <v>0.15209158221972852</v>
      </c>
      <c r="J8" s="67">
        <v>0.18126991152498992</v>
      </c>
      <c r="K8" s="67">
        <v>2.843493841156414E-2</v>
      </c>
      <c r="L8" s="67">
        <v>0.14881950370723276</v>
      </c>
      <c r="M8" s="67">
        <v>9.9041968761845803E-2</v>
      </c>
      <c r="N8" s="67">
        <v>0.18967947973503874</v>
      </c>
      <c r="O8" s="67">
        <v>0.16287732909904251</v>
      </c>
      <c r="P8" s="67">
        <v>9.4566732000308407E-2</v>
      </c>
      <c r="Q8" s="66">
        <v>0.14006002305373402</v>
      </c>
    </row>
    <row r="9" spans="1:17" x14ac:dyDescent="0.35">
      <c r="B9" s="47" t="s">
        <v>5</v>
      </c>
      <c r="C9" s="67">
        <v>0.23032645446194078</v>
      </c>
      <c r="D9" s="67">
        <v>0.26812976363272756</v>
      </c>
      <c r="E9" s="67">
        <v>0.25833469478658078</v>
      </c>
      <c r="F9" s="67">
        <v>0.27979604980193118</v>
      </c>
      <c r="G9" s="67">
        <v>0.40225283654552879</v>
      </c>
      <c r="H9" s="67">
        <v>0.22026305516800626</v>
      </c>
      <c r="I9" s="67">
        <v>0.1615015116382561</v>
      </c>
      <c r="J9" s="67">
        <v>0.25803674967092788</v>
      </c>
      <c r="K9" s="67">
        <v>0.4709439364284615</v>
      </c>
      <c r="L9" s="67">
        <v>0.22682487848802668</v>
      </c>
      <c r="M9" s="67">
        <v>0.1278695360111145</v>
      </c>
      <c r="N9" s="67">
        <v>0.24374024697382984</v>
      </c>
      <c r="O9" s="67">
        <v>0.16757500024673219</v>
      </c>
      <c r="P9" s="67">
        <v>0.31354321265833274</v>
      </c>
      <c r="Q9" s="66">
        <v>0.24287543269786241</v>
      </c>
    </row>
    <row r="10" spans="1:17" x14ac:dyDescent="0.35">
      <c r="B10" s="47" t="s">
        <v>58</v>
      </c>
      <c r="C10" s="67">
        <v>8.9273720462368766E-3</v>
      </c>
      <c r="D10" s="67">
        <v>1.5799521673992647E-2</v>
      </c>
      <c r="E10" s="67">
        <v>6.4315202951188925E-3</v>
      </c>
      <c r="F10" s="67">
        <v>1.0142471300564679E-2</v>
      </c>
      <c r="G10" s="67">
        <v>1.9049057574520212E-3</v>
      </c>
      <c r="H10" s="67">
        <v>1.5293892589476119E-2</v>
      </c>
      <c r="I10" s="67">
        <v>3.3740031714432767E-2</v>
      </c>
      <c r="J10" s="67">
        <v>1.4277383593947736E-2</v>
      </c>
      <c r="K10" s="67">
        <v>1.8965079598205339E-2</v>
      </c>
      <c r="L10" s="67">
        <v>2.3603421321454161E-2</v>
      </c>
      <c r="M10" s="67">
        <v>1.3023797101871659E-2</v>
      </c>
      <c r="N10" s="67">
        <v>6.1533374948741712E-3</v>
      </c>
      <c r="O10" s="67">
        <v>5.7057948972266334E-3</v>
      </c>
      <c r="P10" s="67">
        <v>5.0569341940865991E-3</v>
      </c>
      <c r="Q10" s="66">
        <v>1.1963268683713991E-2</v>
      </c>
    </row>
    <row r="11" spans="1:17" x14ac:dyDescent="0.35">
      <c r="B11" s="47" t="s">
        <v>59</v>
      </c>
      <c r="C11" s="67">
        <v>8.2448334019051984E-4</v>
      </c>
      <c r="D11" s="67">
        <v>4.4543173338895719E-4</v>
      </c>
      <c r="E11" s="67">
        <v>1.3822575127244411E-6</v>
      </c>
      <c r="F11" s="67">
        <v>4.1622632529247481E-5</v>
      </c>
      <c r="G11" s="67">
        <v>0</v>
      </c>
      <c r="H11" s="67">
        <v>1.6696760975074682E-3</v>
      </c>
      <c r="I11" s="67">
        <v>3.8364685284483741E-5</v>
      </c>
      <c r="J11" s="67">
        <v>1.4010103537813778E-5</v>
      </c>
      <c r="K11" s="67">
        <v>0</v>
      </c>
      <c r="L11" s="67">
        <v>1.2029882849192191E-4</v>
      </c>
      <c r="M11" s="67">
        <v>0</v>
      </c>
      <c r="N11" s="67">
        <v>2.5329381763099704E-5</v>
      </c>
      <c r="O11" s="67">
        <v>0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f>SUM(C3:C11)</f>
        <v>0.99999999999999989</v>
      </c>
      <c r="D12" s="49">
        <f t="shared" ref="D12:P12" si="0">SUM(D3:D11)</f>
        <v>1</v>
      </c>
      <c r="E12" s="49">
        <f t="shared" si="0"/>
        <v>0.99999999999999978</v>
      </c>
      <c r="F12" s="49">
        <f t="shared" si="0"/>
        <v>1</v>
      </c>
      <c r="G12" s="49">
        <f t="shared" si="0"/>
        <v>1</v>
      </c>
      <c r="H12" s="49">
        <f t="shared" si="0"/>
        <v>1</v>
      </c>
      <c r="I12" s="49">
        <f t="shared" si="0"/>
        <v>1</v>
      </c>
      <c r="J12" s="49">
        <f t="shared" si="0"/>
        <v>1</v>
      </c>
      <c r="K12" s="49">
        <f t="shared" si="0"/>
        <v>1</v>
      </c>
      <c r="L12" s="49">
        <f t="shared" si="0"/>
        <v>1</v>
      </c>
      <c r="M12" s="49">
        <f t="shared" si="0"/>
        <v>0.99999999999999989</v>
      </c>
      <c r="N12" s="49">
        <f t="shared" si="0"/>
        <v>1</v>
      </c>
      <c r="O12" s="49">
        <f t="shared" si="0"/>
        <v>1</v>
      </c>
      <c r="P12" s="49">
        <f t="shared" si="0"/>
        <v>1.0000000000000002</v>
      </c>
      <c r="Q12" s="49">
        <f>SUM(Q3:Q11)</f>
        <v>1.0032329052244713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C3" sqref="C3:L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28 March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115910432</v>
      </c>
      <c r="D3" s="64">
        <v>1780668624</v>
      </c>
      <c r="E3" s="64">
        <v>77610250</v>
      </c>
      <c r="F3" s="64">
        <v>10324933883</v>
      </c>
      <c r="G3" s="64">
        <v>209190358</v>
      </c>
      <c r="H3" s="64">
        <v>3693068106</v>
      </c>
      <c r="I3" s="64">
        <v>36400000</v>
      </c>
      <c r="J3" s="64">
        <v>7028334010</v>
      </c>
      <c r="K3" s="64">
        <v>4291289837</v>
      </c>
      <c r="L3" s="64">
        <v>17000000</v>
      </c>
      <c r="M3" s="20">
        <f t="shared" ref="M3:M11" si="0">SUM(C3:L3)</f>
        <v>27574405500</v>
      </c>
    </row>
    <row r="4" spans="1:13" x14ac:dyDescent="0.35">
      <c r="B4" s="18" t="s">
        <v>71</v>
      </c>
      <c r="C4" s="64">
        <v>1721884855</v>
      </c>
      <c r="D4" s="64">
        <v>3313894271</v>
      </c>
      <c r="E4" s="64">
        <v>298410011</v>
      </c>
      <c r="F4" s="64">
        <v>4205411571</v>
      </c>
      <c r="G4" s="64">
        <v>5734173357.9700003</v>
      </c>
      <c r="H4" s="64">
        <v>6944155957.8899994</v>
      </c>
      <c r="I4" s="64">
        <v>104498238</v>
      </c>
      <c r="J4" s="64">
        <v>13802878604.99</v>
      </c>
      <c r="K4" s="64">
        <v>14291557488.68</v>
      </c>
      <c r="L4" s="64">
        <v>180627628</v>
      </c>
      <c r="M4" s="20">
        <f t="shared" si="0"/>
        <v>50597491983.529999</v>
      </c>
    </row>
    <row r="5" spans="1:13" x14ac:dyDescent="0.35">
      <c r="B5" s="18" t="s">
        <v>54</v>
      </c>
      <c r="C5" s="64">
        <v>1776875795</v>
      </c>
      <c r="D5" s="64">
        <v>3822005216</v>
      </c>
      <c r="E5" s="64">
        <v>1230713749</v>
      </c>
      <c r="F5" s="64">
        <v>3066308957</v>
      </c>
      <c r="G5" s="64">
        <v>1376109527.8499999</v>
      </c>
      <c r="H5" s="64">
        <v>5208847581</v>
      </c>
      <c r="I5" s="64">
        <v>924738491</v>
      </c>
      <c r="J5" s="64">
        <v>5907008735</v>
      </c>
      <c r="K5" s="64">
        <v>7389537312</v>
      </c>
      <c r="L5" s="64">
        <v>178623530</v>
      </c>
      <c r="M5" s="20">
        <f t="shared" si="0"/>
        <v>30880768893.849998</v>
      </c>
    </row>
    <row r="6" spans="1:13" x14ac:dyDescent="0.35">
      <c r="B6" s="18" t="s">
        <v>55</v>
      </c>
      <c r="C6" s="64">
        <v>193925644</v>
      </c>
      <c r="D6" s="64">
        <v>2044653505</v>
      </c>
      <c r="E6" s="64">
        <v>374264200</v>
      </c>
      <c r="F6" s="64">
        <v>1932051230</v>
      </c>
      <c r="G6" s="64">
        <v>403428784</v>
      </c>
      <c r="H6" s="64">
        <v>1686365877.3</v>
      </c>
      <c r="I6" s="64">
        <v>310178974</v>
      </c>
      <c r="J6" s="64">
        <v>1625485592</v>
      </c>
      <c r="K6" s="64">
        <v>2857092916.8099999</v>
      </c>
      <c r="L6" s="64">
        <v>471735400</v>
      </c>
      <c r="M6" s="20">
        <f t="shared" si="0"/>
        <v>11899182123.110001</v>
      </c>
    </row>
    <row r="7" spans="1:13" x14ac:dyDescent="0.35">
      <c r="B7" s="18" t="s">
        <v>56</v>
      </c>
      <c r="C7" s="64">
        <v>2192096275.75</v>
      </c>
      <c r="D7" s="64">
        <v>6218091246</v>
      </c>
      <c r="E7" s="64">
        <v>648054050</v>
      </c>
      <c r="F7" s="64">
        <v>8962509574</v>
      </c>
      <c r="G7" s="64">
        <v>3048535379.9300003</v>
      </c>
      <c r="H7" s="64">
        <v>11670322656</v>
      </c>
      <c r="I7" s="64">
        <v>1338005099</v>
      </c>
      <c r="J7" s="64">
        <v>16768373570</v>
      </c>
      <c r="K7" s="64">
        <v>20026833780.889999</v>
      </c>
      <c r="L7" s="64">
        <v>1255001853</v>
      </c>
      <c r="M7" s="20">
        <f t="shared" si="0"/>
        <v>72127823484.570007</v>
      </c>
    </row>
    <row r="8" spans="1:13" x14ac:dyDescent="0.35">
      <c r="B8" s="18" t="s">
        <v>57</v>
      </c>
      <c r="C8" s="64">
        <v>19259717744</v>
      </c>
      <c r="D8" s="64">
        <v>35171881978</v>
      </c>
      <c r="E8" s="64">
        <v>1524456000</v>
      </c>
      <c r="F8" s="64">
        <v>43821567765</v>
      </c>
      <c r="G8" s="64">
        <v>23270190306</v>
      </c>
      <c r="H8" s="64">
        <v>58346378494</v>
      </c>
      <c r="I8" s="64">
        <v>7821315000</v>
      </c>
      <c r="J8" s="64">
        <v>53531440922</v>
      </c>
      <c r="K8" s="64">
        <v>62121362065</v>
      </c>
      <c r="L8" s="64">
        <v>4156909982</v>
      </c>
      <c r="M8" s="20">
        <f t="shared" si="0"/>
        <v>309025220256</v>
      </c>
    </row>
    <row r="9" spans="1:13" x14ac:dyDescent="0.35">
      <c r="B9" s="18" t="s">
        <v>5</v>
      </c>
      <c r="C9" s="64">
        <v>6093667039.0200005</v>
      </c>
      <c r="D9" s="64">
        <v>27465304005</v>
      </c>
      <c r="E9" s="64">
        <v>4415183817</v>
      </c>
      <c r="F9" s="64">
        <v>16415690008</v>
      </c>
      <c r="G9" s="64">
        <v>3643343607.25</v>
      </c>
      <c r="H9" s="64">
        <v>6782025281.8099995</v>
      </c>
      <c r="I9" s="64">
        <v>1788359092</v>
      </c>
      <c r="J9" s="64">
        <v>8270371658.0100002</v>
      </c>
      <c r="K9" s="64">
        <v>6432290113.6199999</v>
      </c>
      <c r="L9" s="64">
        <v>595005438</v>
      </c>
      <c r="M9" s="20">
        <f t="shared" si="0"/>
        <v>81901240059.709991</v>
      </c>
    </row>
    <row r="10" spans="1:13" x14ac:dyDescent="0.35">
      <c r="B10" s="18" t="s">
        <v>58</v>
      </c>
      <c r="C10" s="64">
        <v>553439777.23000002</v>
      </c>
      <c r="D10" s="64">
        <v>1029774686</v>
      </c>
      <c r="E10" s="64">
        <v>56307923</v>
      </c>
      <c r="F10" s="64">
        <v>482870084</v>
      </c>
      <c r="G10" s="64">
        <v>256213678</v>
      </c>
      <c r="H10" s="64">
        <v>1595589883</v>
      </c>
      <c r="I10" s="64">
        <v>39452522</v>
      </c>
      <c r="J10" s="64">
        <v>2531820122</v>
      </c>
      <c r="K10" s="64">
        <v>2809362389</v>
      </c>
      <c r="L10" s="64">
        <v>47023000</v>
      </c>
      <c r="M10" s="20">
        <f t="shared" si="0"/>
        <v>9401854064.2299995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f t="shared" si="0"/>
        <v>300000</v>
      </c>
    </row>
    <row r="12" spans="1:13" x14ac:dyDescent="0.35">
      <c r="A12" s="17"/>
      <c r="B12" s="18"/>
      <c r="C12" s="33">
        <f t="shared" ref="C12:M12" si="1">SUM(C3:C11)</f>
        <v>31907817562</v>
      </c>
      <c r="D12" s="33">
        <f t="shared" si="1"/>
        <v>80846273531</v>
      </c>
      <c r="E12" s="33">
        <f t="shared" si="1"/>
        <v>8625000000</v>
      </c>
      <c r="F12" s="33">
        <f t="shared" si="1"/>
        <v>89211343072</v>
      </c>
      <c r="G12" s="33">
        <f t="shared" si="1"/>
        <v>37941184999</v>
      </c>
      <c r="H12" s="33">
        <f t="shared" si="1"/>
        <v>95926753837</v>
      </c>
      <c r="I12" s="33">
        <f t="shared" si="1"/>
        <v>12362947416</v>
      </c>
      <c r="J12" s="33">
        <f t="shared" si="1"/>
        <v>109465713213.99998</v>
      </c>
      <c r="K12" s="33">
        <f t="shared" si="1"/>
        <v>120219325903</v>
      </c>
      <c r="L12" s="33">
        <f t="shared" si="1"/>
        <v>6901926831</v>
      </c>
      <c r="M12" s="33">
        <f t="shared" si="1"/>
        <v>593408286365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 t="s">
        <v>88</v>
      </c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C3" sqref="C3:M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28 March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3.632665624177358E-3</v>
      </c>
      <c r="D3" s="68">
        <v>2.202536426514716E-2</v>
      </c>
      <c r="E3" s="68">
        <v>8.9982898550724638E-3</v>
      </c>
      <c r="F3" s="68">
        <v>0.11573566238843677</v>
      </c>
      <c r="G3" s="68">
        <v>5.513543080046486E-3</v>
      </c>
      <c r="H3" s="68">
        <v>3.8498833310624793E-2</v>
      </c>
      <c r="I3" s="68">
        <v>2.9442817133470528E-3</v>
      </c>
      <c r="J3" s="68">
        <v>6.420580292808177E-2</v>
      </c>
      <c r="K3" s="68">
        <v>3.5695507396726417E-2</v>
      </c>
      <c r="L3" s="68">
        <v>2.4630802986268284E-3</v>
      </c>
      <c r="M3" s="68">
        <v>4.646784706851774E-2</v>
      </c>
    </row>
    <row r="4" spans="1:13" x14ac:dyDescent="0.35">
      <c r="B4" s="18" t="s">
        <v>71</v>
      </c>
      <c r="C4" s="68">
        <v>5.396435690577113E-2</v>
      </c>
      <c r="D4" s="68">
        <v>4.0990068264918952E-2</v>
      </c>
      <c r="E4" s="68">
        <v>3.4598262144927533E-2</v>
      </c>
      <c r="F4" s="68">
        <v>4.7139875112136007E-2</v>
      </c>
      <c r="G4" s="68">
        <v>0.15113321732363219</v>
      </c>
      <c r="H4" s="68">
        <v>7.2390190224612419E-2</v>
      </c>
      <c r="I4" s="68">
        <v>8.4525343741864867E-3</v>
      </c>
      <c r="J4" s="68">
        <v>0.12609316835131804</v>
      </c>
      <c r="K4" s="68">
        <v>0.11887903530761158</v>
      </c>
      <c r="L4" s="68">
        <v>2.6170608936146804E-2</v>
      </c>
      <c r="M4" s="68">
        <v>8.5265900638953909E-2</v>
      </c>
    </row>
    <row r="5" spans="1:13" x14ac:dyDescent="0.35">
      <c r="B5" s="18" t="s">
        <v>54</v>
      </c>
      <c r="C5" s="68">
        <v>5.568778847213092E-2</v>
      </c>
      <c r="D5" s="68">
        <v>4.7274970744748998E-2</v>
      </c>
      <c r="E5" s="68">
        <v>0.14269144915942028</v>
      </c>
      <c r="F5" s="68">
        <v>3.4371290145528546E-2</v>
      </c>
      <c r="G5" s="68">
        <v>3.6269545294546533E-2</v>
      </c>
      <c r="H5" s="68">
        <v>5.4300259027329774E-2</v>
      </c>
      <c r="I5" s="68">
        <v>7.4799193095589231E-2</v>
      </c>
      <c r="J5" s="68">
        <v>5.3962181961506921E-2</v>
      </c>
      <c r="K5" s="68">
        <v>6.1467133145982802E-2</v>
      </c>
      <c r="L5" s="68">
        <v>2.5880241036128133E-2</v>
      </c>
      <c r="M5" s="68">
        <v>5.2039665780560941E-2</v>
      </c>
    </row>
    <row r="6" spans="1:13" x14ac:dyDescent="0.35">
      <c r="B6" s="18" t="s">
        <v>55</v>
      </c>
      <c r="C6" s="68">
        <v>6.0776843675749235E-3</v>
      </c>
      <c r="D6" s="68">
        <v>2.5290633886990356E-2</v>
      </c>
      <c r="E6" s="68">
        <v>4.3392950724637683E-2</v>
      </c>
      <c r="F6" s="68">
        <v>2.1657013149557619E-2</v>
      </c>
      <c r="G6" s="68">
        <v>1.0633004319992458E-2</v>
      </c>
      <c r="H6" s="68">
        <v>1.7579724215055739E-2</v>
      </c>
      <c r="I6" s="68">
        <v>2.508940332453162E-2</v>
      </c>
      <c r="J6" s="68">
        <v>1.4849266900789812E-2</v>
      </c>
      <c r="K6" s="68">
        <v>2.3765670746775523E-2</v>
      </c>
      <c r="L6" s="68">
        <v>6.8348362935579193E-2</v>
      </c>
      <c r="M6" s="68">
        <v>2.0052268221598311E-2</v>
      </c>
    </row>
    <row r="7" spans="1:13" x14ac:dyDescent="0.35">
      <c r="B7" s="18" t="s">
        <v>56</v>
      </c>
      <c r="C7" s="68">
        <v>6.8700915425837047E-2</v>
      </c>
      <c r="D7" s="68">
        <v>7.6912527620901561E-2</v>
      </c>
      <c r="E7" s="68">
        <v>7.5136701449275367E-2</v>
      </c>
      <c r="F7" s="68">
        <v>0.10046378930498341</v>
      </c>
      <c r="G7" s="68">
        <v>8.0348976448952489E-2</v>
      </c>
      <c r="H7" s="68">
        <v>0.12165868424809168</v>
      </c>
      <c r="I7" s="68">
        <v>0.10822703146568168</v>
      </c>
      <c r="J7" s="68">
        <v>0.15318379680419814</v>
      </c>
      <c r="K7" s="68">
        <v>0.16658580998074154</v>
      </c>
      <c r="L7" s="68">
        <v>0.18183354934496843</v>
      </c>
      <c r="M7" s="68">
        <v>0.12154839280455353</v>
      </c>
    </row>
    <row r="8" spans="1:13" x14ac:dyDescent="0.35">
      <c r="B8" s="18" t="s">
        <v>57</v>
      </c>
      <c r="C8" s="68">
        <v>0.60360498509735083</v>
      </c>
      <c r="D8" s="68">
        <v>0.43504642133584004</v>
      </c>
      <c r="E8" s="68">
        <v>0.17674852173913044</v>
      </c>
      <c r="F8" s="68">
        <v>0.49121071666450339</v>
      </c>
      <c r="G8" s="68">
        <v>0.61332270741183548</v>
      </c>
      <c r="H8" s="68">
        <v>0.60823885058325788</v>
      </c>
      <c r="I8" s="68">
        <v>0.63264161342931335</v>
      </c>
      <c r="J8" s="68">
        <v>0.48902473066930752</v>
      </c>
      <c r="K8" s="68">
        <v>0.51673357505866535</v>
      </c>
      <c r="L8" s="68">
        <v>0.60228253410761201</v>
      </c>
      <c r="M8" s="68">
        <v>0.52076323731334184</v>
      </c>
    </row>
    <row r="9" spans="1:13" x14ac:dyDescent="0.35">
      <c r="B9" s="18" t="s">
        <v>5</v>
      </c>
      <c r="C9" s="68">
        <v>0.19097724334105307</v>
      </c>
      <c r="D9" s="68">
        <v>0.33972257230221747</v>
      </c>
      <c r="E9" s="68">
        <v>0.51190537008695647</v>
      </c>
      <c r="F9" s="68">
        <v>0.18400899978326021</v>
      </c>
      <c r="G9" s="68">
        <v>9.6026088993952777E-2</v>
      </c>
      <c r="H9" s="68">
        <v>7.0700039462756201E-2</v>
      </c>
      <c r="I9" s="68">
        <v>0.14465475196355879</v>
      </c>
      <c r="J9" s="68">
        <v>7.5552165287059686E-2</v>
      </c>
      <c r="K9" s="68">
        <v>5.3504626359408711E-2</v>
      </c>
      <c r="L9" s="68">
        <v>8.6208598347860405E-2</v>
      </c>
      <c r="M9" s="68">
        <v>0.13801836263764825</v>
      </c>
    </row>
    <row r="10" spans="1:13" x14ac:dyDescent="0.35">
      <c r="B10" s="18" t="s">
        <v>58</v>
      </c>
      <c r="C10" s="68">
        <v>1.7344958681508461E-2</v>
      </c>
      <c r="D10" s="68">
        <v>1.2737441579235427E-2</v>
      </c>
      <c r="E10" s="68">
        <v>6.5284548405797104E-3</v>
      </c>
      <c r="F10" s="68">
        <v>5.4126534515940303E-3</v>
      </c>
      <c r="G10" s="68">
        <v>6.7529171270415758E-3</v>
      </c>
      <c r="H10" s="68">
        <v>1.6633418928271537E-2</v>
      </c>
      <c r="I10" s="68">
        <v>3.1911906337918215E-3</v>
      </c>
      <c r="J10" s="68">
        <v>2.3128887097738252E-2</v>
      </c>
      <c r="K10" s="68">
        <v>2.3368642004088079E-2</v>
      </c>
      <c r="L10" s="68">
        <v>6.8130249930781978E-3</v>
      </c>
      <c r="M10" s="68">
        <v>1.6230400359299842E-2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-3.8607482447436316E-4</v>
      </c>
    </row>
    <row r="12" spans="1:13" x14ac:dyDescent="0.35">
      <c r="B12" s="23"/>
      <c r="C12" s="21">
        <f t="shared" ref="C12:M12" si="0">SUM(C3:C11)</f>
        <v>0.99999999999999989</v>
      </c>
      <c r="D12" s="21">
        <f t="shared" si="0"/>
        <v>1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</v>
      </c>
      <c r="L12" s="21">
        <f t="shared" si="0"/>
        <v>1</v>
      </c>
      <c r="M12" s="21">
        <f t="shared" si="0"/>
        <v>1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C3" sqref="C3:D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28 March 2025</v>
      </c>
    </row>
    <row r="2" spans="1:13" x14ac:dyDescent="0.35">
      <c r="A2" s="17"/>
      <c r="B2" s="18" t="s">
        <v>40</v>
      </c>
      <c r="C2" s="18" t="s">
        <v>75</v>
      </c>
      <c r="D2" s="53" t="s">
        <v>79</v>
      </c>
      <c r="E2" s="53" t="s">
        <v>52</v>
      </c>
      <c r="K2" s="15"/>
      <c r="L2" s="15"/>
    </row>
    <row r="3" spans="1:13" x14ac:dyDescent="0.35">
      <c r="B3" s="18" t="s">
        <v>53</v>
      </c>
      <c r="C3" s="64">
        <v>214814011</v>
      </c>
      <c r="D3" s="64">
        <v>573370000</v>
      </c>
      <c r="E3" s="54">
        <f>SUM(C3:D3)</f>
        <v>788184011</v>
      </c>
      <c r="K3" s="15"/>
      <c r="L3" s="15"/>
      <c r="M3" s="50"/>
    </row>
    <row r="4" spans="1:13" x14ac:dyDescent="0.35">
      <c r="B4" s="18" t="s">
        <v>71</v>
      </c>
      <c r="C4" s="64">
        <v>52507700000</v>
      </c>
      <c r="D4" s="64">
        <v>50361271227</v>
      </c>
      <c r="E4" s="54">
        <f t="shared" ref="E4:E11" si="0">SUM(C4:D4)</f>
        <v>102868971227</v>
      </c>
      <c r="K4" s="15"/>
      <c r="L4" s="15"/>
      <c r="M4" s="50"/>
    </row>
    <row r="5" spans="1:13" x14ac:dyDescent="0.35">
      <c r="B5" s="18" t="s">
        <v>54</v>
      </c>
      <c r="C5" s="64">
        <v>1421850000</v>
      </c>
      <c r="D5" s="64">
        <v>6817653000</v>
      </c>
      <c r="E5" s="54">
        <f t="shared" si="0"/>
        <v>8239503000</v>
      </c>
      <c r="K5" s="15"/>
      <c r="L5" s="15"/>
      <c r="M5" s="50"/>
    </row>
    <row r="6" spans="1:13" x14ac:dyDescent="0.35">
      <c r="B6" s="18" t="s">
        <v>55</v>
      </c>
      <c r="C6" s="64">
        <v>1360500000</v>
      </c>
      <c r="D6" s="64">
        <v>634827000</v>
      </c>
      <c r="E6" s="54">
        <f t="shared" si="0"/>
        <v>1995327000</v>
      </c>
      <c r="K6" s="15"/>
      <c r="L6" s="15"/>
      <c r="M6" s="50"/>
    </row>
    <row r="7" spans="1:13" x14ac:dyDescent="0.35">
      <c r="B7" s="18" t="s">
        <v>56</v>
      </c>
      <c r="C7" s="64">
        <v>115300000</v>
      </c>
      <c r="D7" s="64">
        <v>804686000</v>
      </c>
      <c r="E7" s="54">
        <f t="shared" si="0"/>
        <v>919986000</v>
      </c>
      <c r="K7" s="15"/>
      <c r="L7" s="15"/>
      <c r="M7" s="50"/>
    </row>
    <row r="8" spans="1:13" x14ac:dyDescent="0.35">
      <c r="B8" s="18" t="s">
        <v>57</v>
      </c>
      <c r="C8" s="64">
        <v>47250000</v>
      </c>
      <c r="D8" s="64">
        <v>319003000</v>
      </c>
      <c r="E8" s="54">
        <f t="shared" si="0"/>
        <v>366253000</v>
      </c>
      <c r="K8" s="15"/>
      <c r="L8" s="15"/>
      <c r="M8" s="50"/>
    </row>
    <row r="9" spans="1:13" x14ac:dyDescent="0.35">
      <c r="B9" s="18" t="s">
        <v>5</v>
      </c>
      <c r="C9" s="64">
        <v>15361487386</v>
      </c>
      <c r="D9" s="64">
        <v>52476189773</v>
      </c>
      <c r="E9" s="54">
        <f t="shared" si="0"/>
        <v>67837677159</v>
      </c>
      <c r="K9" s="15"/>
      <c r="L9" s="15"/>
      <c r="M9" s="50"/>
    </row>
    <row r="10" spans="1:13" x14ac:dyDescent="0.35">
      <c r="B10" s="18" t="s">
        <v>58</v>
      </c>
      <c r="C10" s="64">
        <v>46098603</v>
      </c>
      <c r="D10" s="64">
        <v>223600000</v>
      </c>
      <c r="E10" s="54">
        <f t="shared" si="0"/>
        <v>269698603</v>
      </c>
      <c r="K10" s="15"/>
      <c r="L10" s="15"/>
      <c r="M10" s="50"/>
    </row>
    <row r="11" spans="1:13" x14ac:dyDescent="0.35">
      <c r="B11" s="19" t="s">
        <v>59</v>
      </c>
      <c r="C11" s="65">
        <v>0</v>
      </c>
      <c r="D11" s="65">
        <v>229400000</v>
      </c>
      <c r="E11" s="54">
        <f t="shared" si="0"/>
        <v>229400000</v>
      </c>
      <c r="K11" s="15"/>
      <c r="L11" s="15"/>
      <c r="M11" s="50"/>
    </row>
    <row r="12" spans="1:13" x14ac:dyDescent="0.35">
      <c r="B12" s="19"/>
      <c r="C12" s="20">
        <f>SUM(C3:C11)</f>
        <v>71075000000</v>
      </c>
      <c r="D12" s="20">
        <f t="shared" ref="D12:E12" si="1">SUM(D3:D11)</f>
        <v>112440000000</v>
      </c>
      <c r="E12" s="20">
        <f t="shared" si="1"/>
        <v>183515000000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E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28 March 2025</v>
      </c>
    </row>
    <row r="3" spans="1:5" ht="13" x14ac:dyDescent="0.3">
      <c r="B3" s="18" t="s">
        <v>40</v>
      </c>
      <c r="C3" s="22" t="s">
        <v>75</v>
      </c>
      <c r="D3" s="43" t="s">
        <v>79</v>
      </c>
      <c r="E3" s="43" t="s">
        <v>70</v>
      </c>
    </row>
    <row r="4" spans="1:5" ht="13" x14ac:dyDescent="0.3">
      <c r="B4" s="18" t="s">
        <v>53</v>
      </c>
      <c r="C4" s="67">
        <v>3.0223568202602884E-3</v>
      </c>
      <c r="D4" s="70">
        <v>5.0993418712202065E-3</v>
      </c>
      <c r="E4" s="69">
        <v>4.2949296297305397E-3</v>
      </c>
    </row>
    <row r="5" spans="1:5" ht="13" x14ac:dyDescent="0.3">
      <c r="B5" s="18" t="s">
        <v>71</v>
      </c>
      <c r="C5" s="67">
        <v>0.73876468519169891</v>
      </c>
      <c r="D5" s="70">
        <v>0.44789462137139807</v>
      </c>
      <c r="E5" s="69">
        <v>0.56054802728387321</v>
      </c>
    </row>
    <row r="6" spans="1:5" ht="13" x14ac:dyDescent="0.3">
      <c r="B6" s="18" t="s">
        <v>54</v>
      </c>
      <c r="C6" s="67">
        <v>2.0004924375659514E-2</v>
      </c>
      <c r="D6" s="70">
        <v>6.063369797225187E-2</v>
      </c>
      <c r="E6" s="69">
        <v>4.4898253548756234E-2</v>
      </c>
    </row>
    <row r="7" spans="1:5" ht="13" x14ac:dyDescent="0.3">
      <c r="B7" s="18" t="s">
        <v>55</v>
      </c>
      <c r="C7" s="67">
        <v>1.9141751670770313E-2</v>
      </c>
      <c r="D7" s="70">
        <v>5.6459178228388477E-3</v>
      </c>
      <c r="E7" s="69">
        <v>1.0872827834236983E-2</v>
      </c>
    </row>
    <row r="8" spans="1:5" ht="13" x14ac:dyDescent="0.3">
      <c r="B8" s="18" t="s">
        <v>56</v>
      </c>
      <c r="C8" s="67">
        <v>1.622230038691523E-3</v>
      </c>
      <c r="D8" s="70">
        <v>7.1565812877979369E-3</v>
      </c>
      <c r="E8" s="69">
        <v>5.0131378906356425E-3</v>
      </c>
    </row>
    <row r="9" spans="1:5" ht="13" x14ac:dyDescent="0.3">
      <c r="B9" s="18" t="s">
        <v>57</v>
      </c>
      <c r="C9" s="67">
        <v>6.6479071403447061E-4</v>
      </c>
      <c r="D9" s="70">
        <v>2.8370953397367487E-3</v>
      </c>
      <c r="E9" s="69">
        <v>1.9957660136773561E-3</v>
      </c>
    </row>
    <row r="10" spans="1:5" ht="13" x14ac:dyDescent="0.3">
      <c r="B10" s="18" t="s">
        <v>5</v>
      </c>
      <c r="C10" s="67">
        <v>0.2161306702215969</v>
      </c>
      <c r="D10" s="70">
        <v>0.46670392896655993</v>
      </c>
      <c r="E10" s="69">
        <v>0.36965739671961417</v>
      </c>
    </row>
    <row r="11" spans="1:5" ht="13" x14ac:dyDescent="0.3">
      <c r="B11" s="18" t="s">
        <v>58</v>
      </c>
      <c r="C11" s="67">
        <v>6.4859096728807602E-4</v>
      </c>
      <c r="D11" s="70">
        <v>1.9886161508360016E-3</v>
      </c>
      <c r="E11" s="69">
        <v>1.4696270223142523E-3</v>
      </c>
    </row>
    <row r="12" spans="1:5" ht="13" x14ac:dyDescent="0.3">
      <c r="B12" s="18" t="s">
        <v>59</v>
      </c>
      <c r="C12" s="67">
        <v>0</v>
      </c>
      <c r="D12" s="70">
        <v>2.0401992173603701E-3</v>
      </c>
      <c r="E12" s="69">
        <v>1.25003405716154E-3</v>
      </c>
    </row>
    <row r="13" spans="1:5" ht="13" x14ac:dyDescent="0.3">
      <c r="B13" s="23"/>
      <c r="C13" s="21">
        <f>SUM(C4:C12)</f>
        <v>1</v>
      </c>
      <c r="D13" s="21">
        <f t="shared" ref="D13:E13" si="0">SUM(D4:D12)</f>
        <v>0.99999999999999989</v>
      </c>
      <c r="E13" s="21">
        <f t="shared" si="0"/>
        <v>0.99999999999999978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F1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28 March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f t="shared" ref="G3:G11" si="0">SUM(C3:F3)</f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f t="shared" si="0"/>
        <v>15601785000</v>
      </c>
    </row>
    <row r="5" spans="1:7" x14ac:dyDescent="0.35">
      <c r="B5" s="18" t="s">
        <v>54</v>
      </c>
      <c r="C5" s="64">
        <v>28500000</v>
      </c>
      <c r="D5" s="64">
        <v>30475000</v>
      </c>
      <c r="E5" s="64">
        <v>30700000</v>
      </c>
      <c r="F5" s="64">
        <v>0</v>
      </c>
      <c r="G5" s="53">
        <f t="shared" si="0"/>
        <v>89675000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f t="shared" si="0"/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f t="shared" si="0"/>
        <v>19189549</v>
      </c>
    </row>
    <row r="8" spans="1:7" x14ac:dyDescent="0.35">
      <c r="B8" s="18" t="s">
        <v>57</v>
      </c>
      <c r="C8" s="64">
        <v>35000000</v>
      </c>
      <c r="D8" s="64">
        <v>40000000</v>
      </c>
      <c r="E8" s="64">
        <v>97000000</v>
      </c>
      <c r="F8" s="64">
        <v>138000000</v>
      </c>
      <c r="G8" s="53">
        <f t="shared" si="0"/>
        <v>310000000</v>
      </c>
    </row>
    <row r="9" spans="1:7" x14ac:dyDescent="0.35">
      <c r="B9" s="18" t="s">
        <v>5</v>
      </c>
      <c r="C9" s="64">
        <v>1562715000</v>
      </c>
      <c r="D9" s="64">
        <v>876886618</v>
      </c>
      <c r="E9" s="64">
        <v>1096617910</v>
      </c>
      <c r="F9" s="64">
        <v>783000000</v>
      </c>
      <c r="G9" s="53">
        <f t="shared" si="0"/>
        <v>4319219528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f t="shared" si="0"/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C3" sqref="C3:G11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28 March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3.4372885179336792E-3</v>
      </c>
      <c r="E5" s="67">
        <v>1.2384025816861637E-2</v>
      </c>
      <c r="F5" s="67">
        <v>0</v>
      </c>
      <c r="G5" s="69">
        <v>4.3988521534386342E-3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4.5116174148432213E-3</v>
      </c>
      <c r="E8" s="67">
        <v>3.9128680919725697E-2</v>
      </c>
      <c r="F8" s="67">
        <v>8.8974854932301742E-2</v>
      </c>
      <c r="G8" s="69">
        <v>1.5206514274502109E-2</v>
      </c>
    </row>
    <row r="9" spans="1:7" x14ac:dyDescent="0.35">
      <c r="B9" s="18" t="s">
        <v>5</v>
      </c>
      <c r="C9" s="67">
        <v>0.20864018691588784</v>
      </c>
      <c r="D9" s="67">
        <v>9.8904423415294387E-2</v>
      </c>
      <c r="E9" s="67">
        <v>0.44236301331181926</v>
      </c>
      <c r="F9" s="67">
        <v>0.50483558994197297</v>
      </c>
      <c r="G9" s="69">
        <v>0.21187184970077505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2025-04-01T09:06:33Z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