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4\June\"/>
    </mc:Choice>
  </mc:AlternateContent>
  <xr:revisionPtr revIDLastSave="0" documentId="13_ncr:1_{369D3351-516E-46C4-8522-1B3B7BC00DB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4" l="1"/>
  <c r="D12" i="9"/>
  <c r="E12" i="9"/>
  <c r="F12" i="9"/>
  <c r="G12" i="9"/>
  <c r="C12" i="9"/>
  <c r="G5" i="8"/>
  <c r="G6" i="8"/>
  <c r="G7" i="8"/>
  <c r="G8" i="8"/>
  <c r="G9" i="8"/>
  <c r="G10" i="8"/>
  <c r="G4" i="8"/>
  <c r="G11" i="8"/>
  <c r="G12" i="8"/>
  <c r="D12" i="8"/>
  <c r="E12" i="8"/>
  <c r="F12" i="8"/>
  <c r="C12" i="8"/>
  <c r="D13" i="7"/>
  <c r="E13" i="7"/>
  <c r="C13" i="7"/>
  <c r="E4" i="6"/>
  <c r="E5" i="6"/>
  <c r="E6" i="6"/>
  <c r="E7" i="6"/>
  <c r="E8" i="6"/>
  <c r="E3" i="6"/>
  <c r="E9" i="6"/>
  <c r="E10" i="6"/>
  <c r="E11" i="6"/>
  <c r="E12" i="6"/>
  <c r="D12" i="6"/>
  <c r="C12" i="6"/>
  <c r="D12" i="5"/>
  <c r="E12" i="5"/>
  <c r="F12" i="5"/>
  <c r="G12" i="5"/>
  <c r="H12" i="5"/>
  <c r="I12" i="5"/>
  <c r="J12" i="5"/>
  <c r="K12" i="5"/>
  <c r="L12" i="5"/>
  <c r="M12" i="5"/>
  <c r="N12" i="5"/>
  <c r="C12" i="5"/>
  <c r="N4" i="4"/>
  <c r="N5" i="4"/>
  <c r="N3" i="4"/>
  <c r="N7" i="4"/>
  <c r="N8" i="4"/>
  <c r="N9" i="4"/>
  <c r="N10" i="4"/>
  <c r="N11" i="4"/>
  <c r="N12" i="4"/>
  <c r="D12" i="4"/>
  <c r="E12" i="4"/>
  <c r="F12" i="4"/>
  <c r="G12" i="4"/>
  <c r="H12" i="4"/>
  <c r="I12" i="4"/>
  <c r="J12" i="4"/>
  <c r="K12" i="4"/>
  <c r="L12" i="4"/>
  <c r="M12" i="4"/>
  <c r="C12" i="4"/>
  <c r="D12" i="3"/>
  <c r="E12" i="3"/>
  <c r="F12" i="3"/>
  <c r="G12" i="3"/>
  <c r="H12" i="3"/>
  <c r="I12" i="3"/>
  <c r="J12" i="3"/>
  <c r="K12" i="3"/>
  <c r="L12" i="3"/>
  <c r="M12" i="3"/>
  <c r="N12" i="3"/>
  <c r="O12" i="3"/>
  <c r="C12" i="3"/>
  <c r="O4" i="2"/>
  <c r="O5" i="2"/>
  <c r="O6" i="2"/>
  <c r="O7" i="2"/>
  <c r="O8" i="2"/>
  <c r="O9" i="2"/>
  <c r="O10" i="2"/>
  <c r="O11" i="2"/>
  <c r="O3" i="2"/>
  <c r="D12" i="2"/>
  <c r="E12" i="2"/>
  <c r="F12" i="2"/>
  <c r="G12" i="2"/>
  <c r="H12" i="2"/>
  <c r="I12" i="2"/>
  <c r="J12" i="2"/>
  <c r="K12" i="2"/>
  <c r="L12" i="2"/>
  <c r="M12" i="2"/>
  <c r="N12" i="2"/>
  <c r="C12" i="2"/>
  <c r="O12" i="2"/>
  <c r="A1" i="4"/>
  <c r="A1" i="5"/>
  <c r="A1" i="6"/>
  <c r="A1" i="7"/>
  <c r="A1" i="8"/>
  <c r="A1" i="9"/>
  <c r="A1" i="3"/>
</calcChain>
</file>

<file path=xl/sharedStrings.xml><?xml version="1.0" encoding="utf-8"?>
<sst xmlns="http://schemas.openxmlformats.org/spreadsheetml/2006/main" count="332" uniqueCount="91">
  <si>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</si>
  <si>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</si>
  <si>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</si>
  <si>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</si>
  <si>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</si>
  <si>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</si>
  <si>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</si>
  <si>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</si>
  <si>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</si>
  <si>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</si>
  <si>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</si>
  <si>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</si>
  <si>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</si>
  <si>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</si>
  <si>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</si>
  <si>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</si>
  <si>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</si>
  <si>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</si>
  <si>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</si>
  <si>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</si>
  <si>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</si>
  <si>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</si>
  <si>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</si>
  <si>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</si>
  <si>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</si>
  <si>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</si>
  <si>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</si>
  <si>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</si>
  <si>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</si>
  <si>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</si>
  <si>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</si>
  <si>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</si>
  <si>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</si>
  <si>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</si>
  <si>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</si>
  <si>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</si>
  <si>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</si>
  <si>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</si>
  <si>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</si>
  <si>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</si>
  <si>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</si>
  <si>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</si>
  <si>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</si>
  <si>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</si>
  <si>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</si>
  <si>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</si>
  <si>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</si>
  <si>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</si>
  <si>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</si>
  <si>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</si>
  <si>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</si>
  <si>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</si>
  <si>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</si>
  <si>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</si>
  <si>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</si>
  <si>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</si>
  <si>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</si>
  <si>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</si>
  <si>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</si>
  <si>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</si>
  <si>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</si>
  <si>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</si>
  <si>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</si>
  <si>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</si>
  <si>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</si>
  <si>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</si>
  <si>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</si>
  <si>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</si>
  <si>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</si>
  <si>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</si>
  <si>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</si>
  <si>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</si>
  <si>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</si>
  <si>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</si>
  <si>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</si>
  <si>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</si>
  <si>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</si>
  <si>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</si>
  <si>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</si>
  <si>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</si>
  <si>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</si>
  <si>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</si>
  <si>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</si>
  <si>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</si>
  <si>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</si>
  <si>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</si>
  <si>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</si>
  <si>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</si>
  <si>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</si>
  <si>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</si>
  <si>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28 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</si>
</sst>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9" fontId="3" fillId="0" borderId="10" xfId="67" applyFont="1" applyBorder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"/>
  <sheetViews>
    <sheetView workbookViewId="0">
      <pane ySplit="1" topLeftCell="A155" activePane="bottomLeft" state="frozen"/>
      <selection pane="bottomLeft" activeCell="D170" sqref="D170"/>
    </sheetView>
  </sheetViews>
  <sheetFormatPr defaultRowHeight="14.5" x14ac:dyDescent="0.35"/>
  <cols>
    <col min="1" max="1" width="10.1796875" style="6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63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63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63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63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63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64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64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64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64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6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7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62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62" t="s">
        <v>68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8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8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8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61" t="s">
        <v>69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61" t="s">
        <v>70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61" t="s">
        <v>73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61" t="s">
        <v>74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61" t="s">
        <v>75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6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61" t="s">
        <v>77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61" t="s">
        <v>84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2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2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2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2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2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tabSelected="1" topLeftCell="B1" zoomScale="62" workbookViewId="0">
      <selection activeCell="N18" sqref="N18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3" width="17.81640625" style="15" bestFit="1" customWidth="1"/>
    <col min="4" max="7" width="18.7265625" style="15" bestFit="1" customWidth="1"/>
    <col min="8" max="8" width="17.81640625" style="15" bestFit="1" customWidth="1"/>
    <col min="9" max="10" width="18.7265625" style="15" bestFit="1" customWidth="1"/>
    <col min="11" max="12" width="17.81640625" style="15" bestFit="1" customWidth="1"/>
    <col min="13" max="13" width="20.453125" style="15" bestFit="1" customWidth="1"/>
    <col min="14" max="14" width="22.54296875" customWidth="1"/>
    <col min="15" max="15" width="20.26953125" bestFit="1" customWidth="1"/>
    <col min="16" max="16" width="20.54296875" bestFit="1" customWidth="1"/>
  </cols>
  <sheetData>
    <row r="1" spans="1:16" x14ac:dyDescent="0.35">
      <c r="A1" s="39" t="s">
        <v>90</v>
      </c>
    </row>
    <row r="2" spans="1:16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45</v>
      </c>
      <c r="H2" s="41" t="s">
        <v>46</v>
      </c>
      <c r="I2" s="41" t="s">
        <v>47</v>
      </c>
      <c r="J2" s="41" t="s">
        <v>48</v>
      </c>
      <c r="K2" s="41" t="s">
        <v>49</v>
      </c>
      <c r="L2" s="31" t="s">
        <v>50</v>
      </c>
      <c r="M2" s="31" t="s">
        <v>51</v>
      </c>
      <c r="N2" s="31" t="s">
        <v>78</v>
      </c>
      <c r="O2" s="57" t="s">
        <v>52</v>
      </c>
    </row>
    <row r="3" spans="1:16" x14ac:dyDescent="0.35">
      <c r="B3" s="18" t="s">
        <v>53</v>
      </c>
      <c r="C3" s="51">
        <v>120631367869.89</v>
      </c>
      <c r="D3" s="51">
        <v>82951453978</v>
      </c>
      <c r="E3" s="51">
        <v>58859846969</v>
      </c>
      <c r="F3" s="51">
        <v>75519642145</v>
      </c>
      <c r="G3" s="51">
        <v>117649652267</v>
      </c>
      <c r="H3" s="51">
        <v>38576077634</v>
      </c>
      <c r="I3" s="51">
        <v>89817499510</v>
      </c>
      <c r="J3" s="51">
        <v>94380263177</v>
      </c>
      <c r="K3" s="51">
        <v>48216217534</v>
      </c>
      <c r="L3" s="51">
        <v>77759501123</v>
      </c>
      <c r="M3" s="51">
        <v>96120399962</v>
      </c>
      <c r="N3" s="50">
        <v>6702307649</v>
      </c>
      <c r="O3" s="60">
        <f>SUM(C3:N3)</f>
        <v>907184229817.89001</v>
      </c>
      <c r="P3" s="55"/>
    </row>
    <row r="4" spans="1:16" x14ac:dyDescent="0.35">
      <c r="B4" s="18" t="s">
        <v>72</v>
      </c>
      <c r="C4" s="51">
        <v>102381401785.64999</v>
      </c>
      <c r="D4" s="51">
        <v>93952412839.529999</v>
      </c>
      <c r="E4" s="51">
        <v>56723490244</v>
      </c>
      <c r="F4" s="51">
        <v>77121126023.199997</v>
      </c>
      <c r="G4" s="51">
        <v>40628794278.800003</v>
      </c>
      <c r="H4" s="51">
        <v>9202720590</v>
      </c>
      <c r="I4" s="51">
        <v>32472213209.689999</v>
      </c>
      <c r="J4" s="51">
        <v>18662024101</v>
      </c>
      <c r="K4" s="51">
        <v>9723621048</v>
      </c>
      <c r="L4" s="51">
        <v>28722575243.099998</v>
      </c>
      <c r="M4" s="51">
        <v>136166038479.58</v>
      </c>
      <c r="N4" s="50">
        <v>4350798564</v>
      </c>
      <c r="O4" s="60">
        <f t="shared" ref="O4:O11" si="0">SUM(C4:N4)</f>
        <v>610107216406.54993</v>
      </c>
    </row>
    <row r="5" spans="1:16" x14ac:dyDescent="0.35">
      <c r="B5" s="18" t="s">
        <v>54</v>
      </c>
      <c r="C5" s="51">
        <v>17221255151.900002</v>
      </c>
      <c r="D5" s="51">
        <v>17426799308</v>
      </c>
      <c r="E5" s="51">
        <v>10764231688</v>
      </c>
      <c r="F5" s="51">
        <v>13173771367</v>
      </c>
      <c r="G5" s="51">
        <v>17258685575</v>
      </c>
      <c r="H5" s="51">
        <v>6526595775</v>
      </c>
      <c r="I5" s="51">
        <v>21649171646</v>
      </c>
      <c r="J5" s="51">
        <v>28184784278</v>
      </c>
      <c r="K5" s="51">
        <v>6524735224</v>
      </c>
      <c r="L5" s="51">
        <v>27133908976</v>
      </c>
      <c r="M5" s="51">
        <v>28618383012</v>
      </c>
      <c r="N5" s="50">
        <v>3788032770</v>
      </c>
      <c r="O5" s="60">
        <f t="shared" si="0"/>
        <v>198270354770.89999</v>
      </c>
    </row>
    <row r="6" spans="1:16" x14ac:dyDescent="0.35">
      <c r="B6" s="18" t="s">
        <v>55</v>
      </c>
      <c r="C6" s="51">
        <v>2848194613</v>
      </c>
      <c r="D6" s="51">
        <v>4361068057</v>
      </c>
      <c r="E6" s="51">
        <v>2862162859</v>
      </c>
      <c r="F6" s="51">
        <v>3915284092</v>
      </c>
      <c r="G6" s="51">
        <v>3201290671</v>
      </c>
      <c r="H6" s="51">
        <v>485268955</v>
      </c>
      <c r="I6" s="51">
        <v>3358871804</v>
      </c>
      <c r="J6" s="51">
        <v>1943223493</v>
      </c>
      <c r="K6" s="51">
        <v>564258576</v>
      </c>
      <c r="L6" s="51">
        <v>1642963090</v>
      </c>
      <c r="M6" s="51">
        <v>3959229381</v>
      </c>
      <c r="N6" s="50">
        <v>141615000</v>
      </c>
      <c r="O6" s="60">
        <f t="shared" si="0"/>
        <v>29283430591</v>
      </c>
    </row>
    <row r="7" spans="1:16" x14ac:dyDescent="0.35">
      <c r="B7" s="18" t="s">
        <v>56</v>
      </c>
      <c r="C7" s="51">
        <v>4111131120.73</v>
      </c>
      <c r="D7" s="51">
        <v>5445766474</v>
      </c>
      <c r="E7" s="51">
        <v>4256094291</v>
      </c>
      <c r="F7" s="51">
        <v>10745235936</v>
      </c>
      <c r="G7" s="51">
        <v>10240923467</v>
      </c>
      <c r="H7" s="51">
        <v>4528737628</v>
      </c>
      <c r="I7" s="51">
        <v>9167328559</v>
      </c>
      <c r="J7" s="51">
        <v>8597607972</v>
      </c>
      <c r="K7" s="51">
        <v>1819595757</v>
      </c>
      <c r="L7" s="51">
        <v>8849792723</v>
      </c>
      <c r="M7" s="51">
        <v>10679177928</v>
      </c>
      <c r="N7" s="50">
        <v>766832734</v>
      </c>
      <c r="O7" s="60">
        <f t="shared" si="0"/>
        <v>79208224589.729996</v>
      </c>
    </row>
    <row r="8" spans="1:16" x14ac:dyDescent="0.35">
      <c r="B8" s="18" t="s">
        <v>57</v>
      </c>
      <c r="C8" s="51">
        <v>23790851576.510002</v>
      </c>
      <c r="D8" s="51">
        <v>51310263353</v>
      </c>
      <c r="E8" s="51">
        <v>19746116443</v>
      </c>
      <c r="F8" s="51">
        <v>49640377616</v>
      </c>
      <c r="G8" s="51">
        <v>49675188929</v>
      </c>
      <c r="H8" s="51">
        <v>15142721317</v>
      </c>
      <c r="I8" s="51">
        <v>57806362643</v>
      </c>
      <c r="J8" s="51">
        <v>39775965527</v>
      </c>
      <c r="K8" s="51">
        <v>9721601507</v>
      </c>
      <c r="L8" s="51">
        <v>51029892750</v>
      </c>
      <c r="M8" s="51">
        <v>69047487410</v>
      </c>
      <c r="N8" s="50">
        <v>4391409131</v>
      </c>
      <c r="O8" s="60">
        <f t="shared" si="0"/>
        <v>441078238202.51001</v>
      </c>
    </row>
    <row r="9" spans="1:16" x14ac:dyDescent="0.35">
      <c r="B9" s="18" t="s">
        <v>5</v>
      </c>
      <c r="C9" s="51">
        <v>76374725035.759995</v>
      </c>
      <c r="D9" s="51">
        <v>92101653623.470001</v>
      </c>
      <c r="E9" s="51">
        <v>49139425366</v>
      </c>
      <c r="F9" s="51">
        <v>90059786295</v>
      </c>
      <c r="G9" s="51">
        <v>78726764820.199997</v>
      </c>
      <c r="H9" s="51">
        <v>25588357008</v>
      </c>
      <c r="I9" s="51">
        <v>81192509624</v>
      </c>
      <c r="J9" s="51">
        <v>54983893101</v>
      </c>
      <c r="K9" s="51">
        <v>14675588024</v>
      </c>
      <c r="L9" s="51">
        <v>62657643182</v>
      </c>
      <c r="M9" s="51">
        <v>69009985638.419998</v>
      </c>
      <c r="N9" s="50">
        <v>26514918297</v>
      </c>
      <c r="O9" s="60">
        <f t="shared" si="0"/>
        <v>721025250014.84998</v>
      </c>
    </row>
    <row r="10" spans="1:16" x14ac:dyDescent="0.35">
      <c r="B10" s="18" t="s">
        <v>58</v>
      </c>
      <c r="C10" s="51">
        <v>2125808340.45</v>
      </c>
      <c r="D10" s="51">
        <v>5775303622</v>
      </c>
      <c r="E10" s="51">
        <v>1947093384</v>
      </c>
      <c r="F10" s="51">
        <v>4651377687.8000002</v>
      </c>
      <c r="G10" s="51">
        <v>7904107820</v>
      </c>
      <c r="H10" s="51">
        <v>4208073238</v>
      </c>
      <c r="I10" s="51">
        <v>4259465143.3099999</v>
      </c>
      <c r="J10" s="51">
        <v>4955157303</v>
      </c>
      <c r="K10" s="51">
        <v>2136238826</v>
      </c>
      <c r="L10" s="51">
        <v>2102259853.9000001</v>
      </c>
      <c r="M10" s="51">
        <v>1645348051</v>
      </c>
      <c r="N10" s="50">
        <v>1020757563</v>
      </c>
      <c r="O10" s="60">
        <f t="shared" si="0"/>
        <v>42730990832.459999</v>
      </c>
    </row>
    <row r="11" spans="1:16" x14ac:dyDescent="0.35">
      <c r="A11" s="17"/>
      <c r="B11" s="19" t="s">
        <v>59</v>
      </c>
      <c r="C11" s="52">
        <v>595020745</v>
      </c>
      <c r="D11" s="52">
        <v>143938776</v>
      </c>
      <c r="E11" s="52">
        <v>6700000</v>
      </c>
      <c r="F11" s="52">
        <v>161889789</v>
      </c>
      <c r="G11" s="52">
        <v>1494224783</v>
      </c>
      <c r="H11" s="52">
        <v>4000000</v>
      </c>
      <c r="I11" s="52">
        <v>556544890</v>
      </c>
      <c r="J11" s="52">
        <v>40482150</v>
      </c>
      <c r="K11" s="52">
        <v>0</v>
      </c>
      <c r="L11" s="52">
        <v>6974000</v>
      </c>
      <c r="M11" s="52">
        <v>493520655</v>
      </c>
      <c r="N11" s="50">
        <v>0</v>
      </c>
      <c r="O11" s="60">
        <f t="shared" si="0"/>
        <v>3503295788</v>
      </c>
    </row>
    <row r="12" spans="1:16" x14ac:dyDescent="0.35">
      <c r="B12" s="19"/>
      <c r="C12" s="20">
        <f>SUM(C3:C11)</f>
        <v>350079756238.89001</v>
      </c>
      <c r="D12" s="20">
        <f t="shared" ref="D12:O12" si="1">SUM(D3:D11)</f>
        <v>353468660031</v>
      </c>
      <c r="E12" s="20">
        <f t="shared" si="1"/>
        <v>204305161244</v>
      </c>
      <c r="F12" s="20">
        <f t="shared" si="1"/>
        <v>324988490951</v>
      </c>
      <c r="G12" s="20">
        <f t="shared" si="1"/>
        <v>326779632611</v>
      </c>
      <c r="H12" s="20">
        <f t="shared" si="1"/>
        <v>104262552145</v>
      </c>
      <c r="I12" s="20">
        <f t="shared" si="1"/>
        <v>300279967029</v>
      </c>
      <c r="J12" s="20">
        <f t="shared" si="1"/>
        <v>251523401102</v>
      </c>
      <c r="K12" s="20">
        <f t="shared" si="1"/>
        <v>93381856496</v>
      </c>
      <c r="L12" s="20">
        <f t="shared" si="1"/>
        <v>259905510941</v>
      </c>
      <c r="M12" s="20">
        <f t="shared" si="1"/>
        <v>415739570517</v>
      </c>
      <c r="N12" s="20">
        <f t="shared" si="1"/>
        <v>47676671708</v>
      </c>
      <c r="O12" s="20">
        <f t="shared" si="1"/>
        <v>3032391231013.8901</v>
      </c>
    </row>
    <row r="13" spans="1:16" x14ac:dyDescent="0.35">
      <c r="M13"/>
    </row>
    <row r="15" spans="1:16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27" spans="3:14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zoomScale="74" workbookViewId="0">
      <selection activeCell="C3" sqref="C3:O11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8" width="12" style="15" bestFit="1" customWidth="1"/>
    <col min="9" max="9" width="11" style="15" bestFit="1" customWidth="1"/>
    <col min="10" max="10" width="12" style="15" bestFit="1" customWidth="1"/>
    <col min="11" max="11" width="12" style="15" customWidth="1"/>
    <col min="12" max="12" width="11" style="15" bestFit="1" customWidth="1"/>
    <col min="13" max="14" width="12" style="15" bestFit="1" customWidth="1"/>
    <col min="15" max="15" width="11.36328125" style="28" bestFit="1" customWidth="1"/>
    <col min="16" max="16384" width="9.1796875" style="28"/>
  </cols>
  <sheetData>
    <row r="1" spans="1:15" ht="15" thickBot="1" x14ac:dyDescent="0.4">
      <c r="A1" s="39" t="str">
        <f>'Fixed rate bond (Values)'!A1</f>
        <v>28 June 2024</v>
      </c>
    </row>
    <row r="2" spans="1:15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46</v>
      </c>
      <c r="I2" s="45" t="s">
        <v>47</v>
      </c>
      <c r="J2" s="45" t="s">
        <v>48</v>
      </c>
      <c r="K2" s="45" t="s">
        <v>49</v>
      </c>
      <c r="L2" s="45" t="s">
        <v>50</v>
      </c>
      <c r="M2" s="45" t="s">
        <v>51</v>
      </c>
      <c r="N2" s="45" t="s">
        <v>78</v>
      </c>
      <c r="O2" s="45" t="s">
        <v>71</v>
      </c>
    </row>
    <row r="3" spans="1:15" x14ac:dyDescent="0.35">
      <c r="B3" s="46" t="s">
        <v>53</v>
      </c>
      <c r="C3" s="58">
        <v>0.34458252932389688</v>
      </c>
      <c r="D3" s="58">
        <v>0.23467838413375877</v>
      </c>
      <c r="E3" s="58">
        <v>0.28809769959117265</v>
      </c>
      <c r="F3" s="58">
        <v>0.23237635869507281</v>
      </c>
      <c r="G3" s="58">
        <v>0.36002749414634017</v>
      </c>
      <c r="H3" s="58">
        <v>0.36998976948455553</v>
      </c>
      <c r="I3" s="58">
        <v>0.29911252621566237</v>
      </c>
      <c r="J3" s="58">
        <v>0.37523452197088447</v>
      </c>
      <c r="K3" s="58">
        <v>0.516333893362522</v>
      </c>
      <c r="L3" s="58">
        <v>0.29918373350941313</v>
      </c>
      <c r="M3" s="58">
        <v>0.23120339457335717</v>
      </c>
      <c r="N3" s="58">
        <v>0.140578345947655</v>
      </c>
      <c r="O3" s="58">
        <v>0.29916463962157347</v>
      </c>
    </row>
    <row r="4" spans="1:15" x14ac:dyDescent="0.35">
      <c r="B4" s="47" t="s">
        <v>72</v>
      </c>
      <c r="C4" s="58">
        <v>0.29245164840604554</v>
      </c>
      <c r="D4" s="58">
        <v>0.26580125330288168</v>
      </c>
      <c r="E4" s="58">
        <v>0.27764100475296166</v>
      </c>
      <c r="F4" s="58">
        <v>0.23730417590334885</v>
      </c>
      <c r="G4" s="58">
        <v>0.12433086466917205</v>
      </c>
      <c r="H4" s="58">
        <v>8.8264869799097131E-2</v>
      </c>
      <c r="I4" s="58">
        <v>0.10813979211125312</v>
      </c>
      <c r="J4" s="58">
        <v>7.4195975480754614E-2</v>
      </c>
      <c r="K4" s="58">
        <v>0.10412751912269499</v>
      </c>
      <c r="L4" s="58">
        <v>0.1105116053103629</v>
      </c>
      <c r="M4" s="58">
        <v>0.32752725055795967</v>
      </c>
      <c r="N4" s="59">
        <v>9.1256340011459935E-2</v>
      </c>
      <c r="O4" s="59">
        <v>0.20119673548935788</v>
      </c>
    </row>
    <row r="5" spans="1:15" x14ac:dyDescent="0.35">
      <c r="B5" s="47" t="s">
        <v>54</v>
      </c>
      <c r="C5" s="58">
        <v>4.9192376437066629E-2</v>
      </c>
      <c r="D5" s="58">
        <v>4.9302247351919772E-2</v>
      </c>
      <c r="E5" s="58">
        <v>5.2687027691602786E-2</v>
      </c>
      <c r="F5" s="58">
        <v>4.0536116612776514E-2</v>
      </c>
      <c r="G5" s="58">
        <v>5.2814446962625786E-2</v>
      </c>
      <c r="H5" s="58">
        <v>6.2597698221729059E-2</v>
      </c>
      <c r="I5" s="58">
        <v>7.2096623228645809E-2</v>
      </c>
      <c r="J5" s="58">
        <v>0.11205631028569885</v>
      </c>
      <c r="K5" s="58">
        <v>6.9871551807063143E-2</v>
      </c>
      <c r="L5" s="58">
        <v>0.10439912904409152</v>
      </c>
      <c r="M5" s="58">
        <v>6.8837284303755658E-2</v>
      </c>
      <c r="N5" s="59">
        <v>7.9452542182477465E-2</v>
      </c>
      <c r="O5" s="59">
        <v>6.5384160441793529E-2</v>
      </c>
    </row>
    <row r="6" spans="1:15" x14ac:dyDescent="0.35">
      <c r="B6" s="47" t="s">
        <v>55</v>
      </c>
      <c r="C6" s="58">
        <v>8.1358449388785215E-3</v>
      </c>
      <c r="D6" s="58">
        <v>1.2337920019889526E-2</v>
      </c>
      <c r="E6" s="58">
        <v>1.4009253812152803E-2</v>
      </c>
      <c r="F6" s="58">
        <v>1.2047454605370395E-2</v>
      </c>
      <c r="G6" s="58">
        <v>9.7964816393891693E-3</v>
      </c>
      <c r="H6" s="58">
        <v>4.6542976842263257E-3</v>
      </c>
      <c r="I6" s="58">
        <v>1.1185800495560904E-2</v>
      </c>
      <c r="J6" s="58">
        <v>7.7258159061389551E-3</v>
      </c>
      <c r="K6" s="58">
        <v>6.0424861656522104E-3</v>
      </c>
      <c r="L6" s="58">
        <v>6.3213861224087776E-3</v>
      </c>
      <c r="M6" s="58">
        <v>9.5233402393629096E-3</v>
      </c>
      <c r="N6" s="59">
        <v>2.9703205976149847E-3</v>
      </c>
      <c r="O6" s="59">
        <v>9.6568774805515407E-3</v>
      </c>
    </row>
    <row r="7" spans="1:15" x14ac:dyDescent="0.35">
      <c r="B7" s="47" t="s">
        <v>56</v>
      </c>
      <c r="C7" s="58">
        <v>1.1743412886532679E-2</v>
      </c>
      <c r="D7" s="58">
        <v>1.5406645877805387E-2</v>
      </c>
      <c r="E7" s="58">
        <v>2.0832044893457101E-2</v>
      </c>
      <c r="F7" s="58">
        <v>3.3063435275989844E-2</v>
      </c>
      <c r="G7" s="58">
        <v>3.1338928271551256E-2</v>
      </c>
      <c r="H7" s="58">
        <v>4.3435898458554847E-2</v>
      </c>
      <c r="I7" s="58">
        <v>3.0529271232118696E-2</v>
      </c>
      <c r="J7" s="58">
        <v>3.4182139452358241E-2</v>
      </c>
      <c r="K7" s="58">
        <v>1.9485538468363414E-2</v>
      </c>
      <c r="L7" s="58">
        <v>3.4050038765853455E-2</v>
      </c>
      <c r="M7" s="58">
        <v>2.5687181796815076E-2</v>
      </c>
      <c r="N7" s="59">
        <v>1.6084024042125569E-2</v>
      </c>
      <c r="O7" s="59">
        <v>2.6120714167626208E-2</v>
      </c>
    </row>
    <row r="8" spans="1:15" x14ac:dyDescent="0.35">
      <c r="B8" s="47" t="s">
        <v>57</v>
      </c>
      <c r="C8" s="58">
        <v>6.7958375634480914E-2</v>
      </c>
      <c r="D8" s="58">
        <v>0.14516212936247297</v>
      </c>
      <c r="E8" s="58">
        <v>9.6650110661753538E-2</v>
      </c>
      <c r="F8" s="58">
        <v>0.15274503251096516</v>
      </c>
      <c r="G8" s="58">
        <v>0.15201433618151342</v>
      </c>
      <c r="H8" s="58">
        <v>0.14523643441933703</v>
      </c>
      <c r="I8" s="58">
        <v>0.19250822229315503</v>
      </c>
      <c r="J8" s="58">
        <v>0.15814021817743193</v>
      </c>
      <c r="K8" s="58">
        <v>0.10410589242693438</v>
      </c>
      <c r="L8" s="58">
        <v>0.19634017210810151</v>
      </c>
      <c r="M8" s="58">
        <v>0.16608351070391214</v>
      </c>
      <c r="N8" s="59">
        <v>9.2108131160991577E-2</v>
      </c>
      <c r="O8" s="59">
        <v>0.14545558425686189</v>
      </c>
    </row>
    <row r="9" spans="1:15" x14ac:dyDescent="0.35">
      <c r="B9" s="47" t="s">
        <v>5</v>
      </c>
      <c r="C9" s="58">
        <v>0.2181637860363535</v>
      </c>
      <c r="D9" s="58">
        <v>0.26056526090712673</v>
      </c>
      <c r="E9" s="58">
        <v>0.24051974539846882</v>
      </c>
      <c r="F9" s="58">
        <v>0.27711684814271997</v>
      </c>
      <c r="G9" s="58">
        <v>0.24091698797494121</v>
      </c>
      <c r="H9" s="58">
        <v>0.24542231588973348</v>
      </c>
      <c r="I9" s="58">
        <v>0.27038936505597361</v>
      </c>
      <c r="J9" s="58">
        <v>0.21860348921849401</v>
      </c>
      <c r="K9" s="58">
        <v>0.15715673873573746</v>
      </c>
      <c r="L9" s="58">
        <v>0.24107854795054204</v>
      </c>
      <c r="M9" s="58">
        <v>0.16599330574330814</v>
      </c>
      <c r="N9" s="59">
        <v>0.55614029560186096</v>
      </c>
      <c r="O9" s="59">
        <v>0.2377744806278749</v>
      </c>
    </row>
    <row r="10" spans="1:15" x14ac:dyDescent="0.35">
      <c r="B10" s="47" t="s">
        <v>58</v>
      </c>
      <c r="C10" s="58">
        <v>6.0723543780102935E-3</v>
      </c>
      <c r="D10" s="58">
        <v>1.6338941114308388E-2</v>
      </c>
      <c r="E10" s="58">
        <v>9.5303191174627364E-3</v>
      </c>
      <c r="F10" s="58">
        <v>1.4312438185699657E-2</v>
      </c>
      <c r="G10" s="58">
        <v>2.4187883916893582E-2</v>
      </c>
      <c r="H10" s="58">
        <v>4.0360351357482109E-2</v>
      </c>
      <c r="I10" s="58">
        <v>1.4184979389246554E-2</v>
      </c>
      <c r="J10" s="58">
        <v>1.9700581660751879E-2</v>
      </c>
      <c r="K10" s="58">
        <v>2.2876379911032349E-2</v>
      </c>
      <c r="L10" s="58">
        <v>8.0885543607316004E-3</v>
      </c>
      <c r="M10" s="58">
        <v>3.9576411957945199E-3</v>
      </c>
      <c r="N10" s="59">
        <v>2.1410000455814537E-2</v>
      </c>
      <c r="O10" s="59">
        <v>1.4091516422890048E-2</v>
      </c>
    </row>
    <row r="11" spans="1:15" x14ac:dyDescent="0.35">
      <c r="B11" s="47" t="s">
        <v>59</v>
      </c>
      <c r="C11" s="58">
        <v>1.699671958734927E-3</v>
      </c>
      <c r="D11" s="58">
        <v>4.0721792983676756E-4</v>
      </c>
      <c r="E11" s="58">
        <v>3.2794080967921534E-5</v>
      </c>
      <c r="F11" s="58">
        <v>4.9814006805677582E-4</v>
      </c>
      <c r="G11" s="58">
        <v>4.5725762375733257E-3</v>
      </c>
      <c r="H11" s="58">
        <v>3.8364685284483741E-5</v>
      </c>
      <c r="I11" s="58">
        <v>1.8534199783838755E-3</v>
      </c>
      <c r="J11" s="58">
        <v>1.6094784748709454E-4</v>
      </c>
      <c r="K11" s="58">
        <v>0</v>
      </c>
      <c r="L11" s="58">
        <v>2.6832828495056946E-5</v>
      </c>
      <c r="M11" s="58">
        <v>1.1870908857347258E-3</v>
      </c>
      <c r="N11" s="59">
        <v>0</v>
      </c>
      <c r="O11" s="59">
        <v>1.1552914914704662E-3</v>
      </c>
    </row>
    <row r="12" spans="1:15" ht="15" thickBot="1" x14ac:dyDescent="0.4">
      <c r="A12" s="17"/>
      <c r="B12" s="48"/>
      <c r="C12" s="49">
        <f>SUM(C3:C11)</f>
        <v>0.99999999999999989</v>
      </c>
      <c r="D12" s="49">
        <f t="shared" ref="D12:O12" si="0">SUM(D3:D11)</f>
        <v>1</v>
      </c>
      <c r="E12" s="49">
        <f t="shared" si="0"/>
        <v>1</v>
      </c>
      <c r="F12" s="49">
        <f t="shared" si="0"/>
        <v>1</v>
      </c>
      <c r="G12" s="49">
        <f t="shared" si="0"/>
        <v>0.99999999999999989</v>
      </c>
      <c r="H12" s="49">
        <f t="shared" si="0"/>
        <v>1</v>
      </c>
      <c r="I12" s="49">
        <f t="shared" si="0"/>
        <v>0.99999999999999989</v>
      </c>
      <c r="J12" s="49">
        <f t="shared" si="0"/>
        <v>1</v>
      </c>
      <c r="K12" s="49">
        <f t="shared" si="0"/>
        <v>0.99999999999999989</v>
      </c>
      <c r="L12" s="49">
        <f t="shared" si="0"/>
        <v>1</v>
      </c>
      <c r="M12" s="49">
        <f t="shared" si="0"/>
        <v>1.0000000000000002</v>
      </c>
      <c r="N12" s="49">
        <f t="shared" si="0"/>
        <v>1</v>
      </c>
      <c r="O12" s="49">
        <f t="shared" si="0"/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zoomScale="59" workbookViewId="0">
      <selection activeCell="N7" sqref="N7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4" width="17.7265625" style="15" bestFit="1" customWidth="1"/>
    <col min="5" max="5" width="16.54296875" style="15" bestFit="1" customWidth="1"/>
    <col min="6" max="9" width="17.7265625" style="15" bestFit="1" customWidth="1"/>
    <col min="10" max="10" width="17.7265625" style="15" customWidth="1"/>
    <col min="11" max="11" width="18.7265625" style="15" bestFit="1" customWidth="1"/>
    <col min="12" max="13" width="18.81640625" style="28" customWidth="1"/>
    <col min="14" max="14" width="20.81640625" style="28" customWidth="1"/>
    <col min="15" max="16384" width="9.1796875" style="28"/>
  </cols>
  <sheetData>
    <row r="1" spans="1:14" x14ac:dyDescent="0.35">
      <c r="A1" s="39" t="str">
        <f>'Fixed rate bond (Values)'!A1</f>
        <v>28 June 2024</v>
      </c>
      <c r="C1" s="32"/>
      <c r="D1" s="32"/>
      <c r="E1" s="32"/>
      <c r="F1" s="32"/>
      <c r="G1" s="32"/>
      <c r="H1" s="32"/>
      <c r="I1" s="32"/>
      <c r="J1" s="32"/>
    </row>
    <row r="2" spans="1:14" x14ac:dyDescent="0.35">
      <c r="A2" s="17"/>
      <c r="B2" s="18" t="s">
        <v>40</v>
      </c>
      <c r="C2" s="40" t="s">
        <v>60</v>
      </c>
      <c r="D2" s="40" t="s">
        <v>61</v>
      </c>
      <c r="E2" s="40" t="s">
        <v>67</v>
      </c>
      <c r="F2" s="40" t="s">
        <v>79</v>
      </c>
      <c r="G2" s="40" t="s">
        <v>62</v>
      </c>
      <c r="H2" s="40" t="s">
        <v>63</v>
      </c>
      <c r="I2" s="40" t="s">
        <v>64</v>
      </c>
      <c r="J2" s="40" t="s">
        <v>81</v>
      </c>
      <c r="K2" s="40" t="s">
        <v>65</v>
      </c>
      <c r="L2" s="22" t="s">
        <v>66</v>
      </c>
      <c r="M2" s="22" t="s">
        <v>82</v>
      </c>
      <c r="N2" s="22" t="s">
        <v>83</v>
      </c>
    </row>
    <row r="3" spans="1:14" x14ac:dyDescent="0.35">
      <c r="B3" s="18" t="s">
        <v>53</v>
      </c>
      <c r="C3" s="51">
        <v>1418869803</v>
      </c>
      <c r="D3" s="51">
        <v>88557432</v>
      </c>
      <c r="E3" s="51">
        <v>2050010304</v>
      </c>
      <c r="F3" s="51">
        <v>47300000</v>
      </c>
      <c r="G3" s="51">
        <v>12763162658</v>
      </c>
      <c r="H3" s="51">
        <v>211076358</v>
      </c>
      <c r="I3" s="51">
        <v>3657473167</v>
      </c>
      <c r="J3" s="51">
        <v>20000000</v>
      </c>
      <c r="K3" s="51">
        <v>4892436614</v>
      </c>
      <c r="L3" s="52">
        <v>1997336593</v>
      </c>
      <c r="M3" s="52">
        <v>5000000</v>
      </c>
      <c r="N3" s="20">
        <f>SUM(C3:M3)</f>
        <v>27151222929</v>
      </c>
    </row>
    <row r="4" spans="1:14" x14ac:dyDescent="0.35">
      <c r="B4" s="18" t="s">
        <v>72</v>
      </c>
      <c r="C4" s="51">
        <v>11421428971</v>
      </c>
      <c r="D4" s="51">
        <v>1155586500</v>
      </c>
      <c r="E4" s="51">
        <v>2797085309</v>
      </c>
      <c r="F4" s="51">
        <v>290681257</v>
      </c>
      <c r="G4" s="51">
        <v>2131994984</v>
      </c>
      <c r="H4" s="51">
        <v>4104319101.9699998</v>
      </c>
      <c r="I4" s="51">
        <v>3719735358</v>
      </c>
      <c r="J4" s="51">
        <v>697130230</v>
      </c>
      <c r="K4" s="51">
        <v>14880005502.99</v>
      </c>
      <c r="L4" s="52">
        <v>11484870164.620001</v>
      </c>
      <c r="M4" s="52">
        <v>19259722</v>
      </c>
      <c r="N4" s="20">
        <f t="shared" ref="N4:N11" si="0">SUM(C4:M4)</f>
        <v>52702097100.580002</v>
      </c>
    </row>
    <row r="5" spans="1:14" x14ac:dyDescent="0.35">
      <c r="B5" s="18" t="s">
        <v>54</v>
      </c>
      <c r="C5" s="51">
        <v>4738192950.3000002</v>
      </c>
      <c r="D5" s="51">
        <v>2155294908</v>
      </c>
      <c r="E5" s="51">
        <v>3082929378</v>
      </c>
      <c r="F5" s="51">
        <v>84200000</v>
      </c>
      <c r="G5" s="51">
        <v>3109964695</v>
      </c>
      <c r="H5" s="51">
        <v>1776446143</v>
      </c>
      <c r="I5" s="51">
        <v>5892358854</v>
      </c>
      <c r="J5" s="51">
        <v>0</v>
      </c>
      <c r="K5" s="51">
        <v>7347552330</v>
      </c>
      <c r="L5" s="52">
        <v>7696908953</v>
      </c>
      <c r="M5" s="52">
        <v>0</v>
      </c>
      <c r="N5" s="20">
        <f t="shared" si="0"/>
        <v>35883848211.300003</v>
      </c>
    </row>
    <row r="6" spans="1:14" x14ac:dyDescent="0.35">
      <c r="B6" s="18" t="s">
        <v>55</v>
      </c>
      <c r="C6" s="51">
        <v>1510462751.7</v>
      </c>
      <c r="D6" s="51">
        <v>354985899</v>
      </c>
      <c r="E6" s="51">
        <v>1032970197</v>
      </c>
      <c r="F6" s="51">
        <v>8000000</v>
      </c>
      <c r="G6" s="51">
        <v>1382930984</v>
      </c>
      <c r="H6" s="51">
        <v>532744108</v>
      </c>
      <c r="I6" s="51">
        <v>1483158051.99</v>
      </c>
      <c r="J6" s="51">
        <v>0</v>
      </c>
      <c r="K6" s="51">
        <v>1663385494</v>
      </c>
      <c r="L6" s="52">
        <v>2729002143.8099999</v>
      </c>
      <c r="M6" s="52">
        <v>0</v>
      </c>
      <c r="N6" s="20">
        <f>SUM(C6:M6)</f>
        <v>10697639629.5</v>
      </c>
    </row>
    <row r="7" spans="1:14" x14ac:dyDescent="0.35">
      <c r="B7" s="18" t="s">
        <v>56</v>
      </c>
      <c r="C7" s="51">
        <v>2495521120</v>
      </c>
      <c r="D7" s="51">
        <v>2714675069.75</v>
      </c>
      <c r="E7" s="51">
        <v>5797307325</v>
      </c>
      <c r="F7" s="51">
        <v>0</v>
      </c>
      <c r="G7" s="51">
        <v>7995998923</v>
      </c>
      <c r="H7" s="51">
        <v>3200823323.6399999</v>
      </c>
      <c r="I7" s="51">
        <v>10289588218</v>
      </c>
      <c r="J7" s="51">
        <v>169000000</v>
      </c>
      <c r="K7" s="51">
        <v>11102551608</v>
      </c>
      <c r="L7" s="52">
        <v>16636144829.880001</v>
      </c>
      <c r="M7" s="52">
        <v>204400000</v>
      </c>
      <c r="N7" s="20">
        <f t="shared" si="0"/>
        <v>60606010417.270004</v>
      </c>
    </row>
    <row r="8" spans="1:14" x14ac:dyDescent="0.35">
      <c r="B8" s="18" t="s">
        <v>57</v>
      </c>
      <c r="C8" s="51">
        <v>1970547229</v>
      </c>
      <c r="D8" s="51">
        <v>19627877590</v>
      </c>
      <c r="E8" s="51">
        <v>32234993853</v>
      </c>
      <c r="F8" s="51">
        <v>470000000</v>
      </c>
      <c r="G8" s="51">
        <v>39096945579</v>
      </c>
      <c r="H8" s="51">
        <v>23034313176</v>
      </c>
      <c r="I8" s="51">
        <v>55943505164</v>
      </c>
      <c r="J8" s="51">
        <v>6582000000</v>
      </c>
      <c r="K8" s="51">
        <v>50113644951</v>
      </c>
      <c r="L8" s="52">
        <v>56428803667</v>
      </c>
      <c r="M8" s="52">
        <v>1710000000</v>
      </c>
      <c r="N8" s="20">
        <f t="shared" si="0"/>
        <v>287212631209</v>
      </c>
    </row>
    <row r="9" spans="1:14" x14ac:dyDescent="0.35">
      <c r="B9" s="18" t="s">
        <v>5</v>
      </c>
      <c r="C9" s="51">
        <v>17198482240</v>
      </c>
      <c r="D9" s="51">
        <v>5329044354.0200005</v>
      </c>
      <c r="E9" s="51">
        <v>21176881485</v>
      </c>
      <c r="F9" s="51">
        <v>858441385</v>
      </c>
      <c r="G9" s="51">
        <v>14677222402</v>
      </c>
      <c r="H9" s="51">
        <v>4331999110.3899994</v>
      </c>
      <c r="I9" s="51">
        <v>8796361241.0100002</v>
      </c>
      <c r="J9" s="51">
        <v>59817186</v>
      </c>
      <c r="K9" s="51">
        <v>12940964363.009998</v>
      </c>
      <c r="L9" s="52">
        <v>15394996993.689999</v>
      </c>
      <c r="M9" s="52">
        <v>403267109</v>
      </c>
      <c r="N9" s="20">
        <f t="shared" si="0"/>
        <v>101167477869.12</v>
      </c>
    </row>
    <row r="10" spans="1:14" x14ac:dyDescent="0.35">
      <c r="B10" s="18" t="s">
        <v>58</v>
      </c>
      <c r="C10" s="51">
        <v>2901494935</v>
      </c>
      <c r="D10" s="51">
        <v>481495809.23000002</v>
      </c>
      <c r="E10" s="51">
        <v>1297056406</v>
      </c>
      <c r="F10" s="51">
        <v>26377358</v>
      </c>
      <c r="G10" s="51">
        <v>627122847</v>
      </c>
      <c r="H10" s="51">
        <v>749463678</v>
      </c>
      <c r="I10" s="51">
        <v>1713841883</v>
      </c>
      <c r="J10" s="51">
        <v>0</v>
      </c>
      <c r="K10" s="51">
        <v>1444620122</v>
      </c>
      <c r="L10" s="52">
        <v>1959262558</v>
      </c>
      <c r="M10" s="52">
        <v>0</v>
      </c>
      <c r="N10" s="20">
        <f t="shared" si="0"/>
        <v>11200735596.23</v>
      </c>
    </row>
    <row r="11" spans="1:14" x14ac:dyDescent="0.35">
      <c r="B11" s="18" t="s">
        <v>59</v>
      </c>
      <c r="C11" s="52">
        <v>0</v>
      </c>
      <c r="D11" s="52">
        <v>300000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20">
        <f t="shared" si="0"/>
        <v>300000</v>
      </c>
    </row>
    <row r="12" spans="1:14" x14ac:dyDescent="0.35">
      <c r="A12" s="17"/>
      <c r="B12" s="18"/>
      <c r="C12" s="33">
        <f>SUM(C3:C11)</f>
        <v>43655000000</v>
      </c>
      <c r="D12" s="33">
        <f t="shared" ref="D12:N12" si="1">SUM(D3:D11)</f>
        <v>31907817562</v>
      </c>
      <c r="E12" s="33">
        <f t="shared" si="1"/>
        <v>69469234257</v>
      </c>
      <c r="F12" s="33">
        <f t="shared" si="1"/>
        <v>1785000000</v>
      </c>
      <c r="G12" s="33">
        <f t="shared" si="1"/>
        <v>81785343072</v>
      </c>
      <c r="H12" s="33">
        <f t="shared" si="1"/>
        <v>37941184999</v>
      </c>
      <c r="I12" s="33">
        <f t="shared" si="1"/>
        <v>91496021936.999985</v>
      </c>
      <c r="J12" s="33">
        <f t="shared" si="1"/>
        <v>7527947416</v>
      </c>
      <c r="K12" s="33">
        <f t="shared" si="1"/>
        <v>104385160984.99998</v>
      </c>
      <c r="L12" s="33">
        <f t="shared" si="1"/>
        <v>114327325903</v>
      </c>
      <c r="M12" s="33">
        <f t="shared" si="1"/>
        <v>2341926831</v>
      </c>
      <c r="N12" s="33">
        <f t="shared" si="1"/>
        <v>586621962962</v>
      </c>
    </row>
    <row r="13" spans="1:14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42"/>
      <c r="M13" s="42"/>
    </row>
    <row r="14" spans="1:14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42"/>
      <c r="M14" s="42"/>
    </row>
    <row r="15" spans="1:14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3:13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3:13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3:13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 t="s">
        <v>89</v>
      </c>
      <c r="M19" s="26"/>
    </row>
    <row r="20" spans="3:13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3:13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3:13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3:13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3:13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zoomScale="91" workbookViewId="0">
      <selection activeCell="C3" sqref="C3:N11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.26953125" style="15" bestFit="1" customWidth="1"/>
    <col min="4" max="4" width="11" style="15" bestFit="1" customWidth="1"/>
    <col min="5" max="5" width="11" style="15" customWidth="1"/>
    <col min="6" max="6" width="11" style="15" bestFit="1" customWidth="1"/>
    <col min="7" max="9" width="11.26953125" style="15" bestFit="1" customWidth="1"/>
    <col min="10" max="10" width="11.26953125" style="15" customWidth="1"/>
    <col min="11" max="11" width="11.7265625" style="28" customWidth="1"/>
    <col min="12" max="13" width="11.08984375" style="28" bestFit="1" customWidth="1"/>
    <col min="14" max="16384" width="9.1796875" style="28"/>
  </cols>
  <sheetData>
    <row r="1" spans="1:14" x14ac:dyDescent="0.35">
      <c r="A1" s="39" t="str">
        <f>'Fixed rate bond (Values)'!A1</f>
        <v>28 June 2024</v>
      </c>
    </row>
    <row r="2" spans="1:14" x14ac:dyDescent="0.35">
      <c r="A2" s="17"/>
      <c r="B2" s="18"/>
      <c r="C2" s="22" t="s">
        <v>60</v>
      </c>
      <c r="D2" s="22" t="s">
        <v>61</v>
      </c>
      <c r="E2" s="22" t="s">
        <v>67</v>
      </c>
      <c r="F2" s="22" t="s">
        <v>79</v>
      </c>
      <c r="G2" s="22" t="s">
        <v>62</v>
      </c>
      <c r="H2" s="22" t="s">
        <v>63</v>
      </c>
      <c r="I2" s="22" t="s">
        <v>64</v>
      </c>
      <c r="J2" s="22" t="s">
        <v>81</v>
      </c>
      <c r="K2" s="22" t="s">
        <v>65</v>
      </c>
      <c r="L2" s="43" t="s">
        <v>66</v>
      </c>
      <c r="M2" s="43" t="s">
        <v>82</v>
      </c>
      <c r="N2" s="43" t="s">
        <v>71</v>
      </c>
    </row>
    <row r="3" spans="1:14" x14ac:dyDescent="0.35">
      <c r="B3" s="18" t="s">
        <v>53</v>
      </c>
      <c r="C3" s="53">
        <v>3.2501885305234221E-2</v>
      </c>
      <c r="D3" s="53">
        <v>2.7754148909722291E-3</v>
      </c>
      <c r="E3" s="53">
        <v>2.950961423320184E-2</v>
      </c>
      <c r="F3" s="53">
        <v>2.6498599439775911E-2</v>
      </c>
      <c r="G3" s="53">
        <v>0.15605684562286309</v>
      </c>
      <c r="H3" s="53">
        <v>5.5632515960047967E-3</v>
      </c>
      <c r="I3" s="53">
        <v>3.9974122257668977E-2</v>
      </c>
      <c r="J3" s="53">
        <v>2.6567666981163725E-3</v>
      </c>
      <c r="K3" s="53">
        <v>4.6869081465545061E-2</v>
      </c>
      <c r="L3" s="53">
        <v>1.7470334211215806E-2</v>
      </c>
      <c r="M3" s="53">
        <v>2.1349941141692312E-3</v>
      </c>
      <c r="N3" s="53">
        <v>4.6284020448035618E-2</v>
      </c>
    </row>
    <row r="4" spans="1:14" x14ac:dyDescent="0.35">
      <c r="B4" s="18" t="s">
        <v>72</v>
      </c>
      <c r="C4" s="53">
        <v>0.26162934305348756</v>
      </c>
      <c r="D4" s="53">
        <v>3.6216406770992179E-2</v>
      </c>
      <c r="E4" s="53">
        <v>4.0263655399629721E-2</v>
      </c>
      <c r="F4" s="53">
        <v>0.16284664257703083</v>
      </c>
      <c r="G4" s="53">
        <v>2.6068179259492633E-2</v>
      </c>
      <c r="H4" s="53">
        <v>0.10817582798423865</v>
      </c>
      <c r="I4" s="53">
        <v>4.0654612946574235E-2</v>
      </c>
      <c r="J4" s="53">
        <v>9.2605618965710373E-2</v>
      </c>
      <c r="K4" s="53">
        <v>0.14254904971721255</v>
      </c>
      <c r="L4" s="53">
        <v>0.10045603773120904</v>
      </c>
      <c r="M4" s="53">
        <v>8.2238786221071319E-3</v>
      </c>
      <c r="N4" s="53">
        <v>8.9839965817975889E-2</v>
      </c>
    </row>
    <row r="5" spans="1:14" x14ac:dyDescent="0.35">
      <c r="B5" s="18" t="s">
        <v>54</v>
      </c>
      <c r="C5" s="53">
        <v>0.10853723400068721</v>
      </c>
      <c r="D5" s="53">
        <v>6.7547550183024954E-2</v>
      </c>
      <c r="E5" s="53">
        <v>4.4378341160271992E-2</v>
      </c>
      <c r="F5" s="53">
        <v>4.7170868347338933E-2</v>
      </c>
      <c r="G5" s="53">
        <v>3.8025941790843037E-2</v>
      </c>
      <c r="H5" s="53">
        <v>4.6821050608904839E-2</v>
      </c>
      <c r="I5" s="53">
        <v>6.4400164392471745E-2</v>
      </c>
      <c r="J5" s="53">
        <v>0</v>
      </c>
      <c r="K5" s="53">
        <v>7.038885853762139E-2</v>
      </c>
      <c r="L5" s="53">
        <v>6.7323440762800432E-2</v>
      </c>
      <c r="M5" s="53">
        <v>0</v>
      </c>
      <c r="N5" s="53">
        <v>6.1170311507113613E-2</v>
      </c>
    </row>
    <row r="6" spans="1:14" x14ac:dyDescent="0.35">
      <c r="B6" s="18" t="s">
        <v>55</v>
      </c>
      <c r="C6" s="53">
        <v>3.4599994312220821E-2</v>
      </c>
      <c r="D6" s="53">
        <v>1.1125358176259714E-2</v>
      </c>
      <c r="E6" s="53">
        <v>1.4869462835570463E-2</v>
      </c>
      <c r="F6" s="53">
        <v>4.4817927170868344E-3</v>
      </c>
      <c r="G6" s="53">
        <v>1.6909276553165913E-2</v>
      </c>
      <c r="H6" s="53">
        <v>1.404131441898932E-2</v>
      </c>
      <c r="I6" s="53">
        <v>1.6210082368512541E-2</v>
      </c>
      <c r="J6" s="53">
        <v>0</v>
      </c>
      <c r="K6" s="53">
        <v>1.5935076195734626E-2</v>
      </c>
      <c r="L6" s="53">
        <v>2.387007762365926E-2</v>
      </c>
      <c r="M6" s="53">
        <v>0</v>
      </c>
      <c r="N6" s="53">
        <v>1.8236002579045899E-2</v>
      </c>
    </row>
    <row r="7" spans="1:14" x14ac:dyDescent="0.35">
      <c r="B7" s="18" t="s">
        <v>56</v>
      </c>
      <c r="C7" s="53">
        <v>5.7164611613789947E-2</v>
      </c>
      <c r="D7" s="53">
        <v>8.5078682190504629E-2</v>
      </c>
      <c r="E7" s="53">
        <v>8.3451435545596794E-2</v>
      </c>
      <c r="F7" s="53">
        <v>0</v>
      </c>
      <c r="G7" s="53">
        <v>9.7768116176521938E-2</v>
      </c>
      <c r="H7" s="53">
        <v>8.4362766311183029E-2</v>
      </c>
      <c r="I7" s="53">
        <v>0.11245940533988401</v>
      </c>
      <c r="J7" s="53">
        <v>2.244967859908335E-2</v>
      </c>
      <c r="K7" s="53">
        <v>0.10636139757063193</v>
      </c>
      <c r="L7" s="53">
        <v>0.14551328563387189</v>
      </c>
      <c r="M7" s="53">
        <v>8.7278559387238178E-2</v>
      </c>
      <c r="N7" s="53">
        <v>0.10331357201707077</v>
      </c>
    </row>
    <row r="8" spans="1:14" x14ac:dyDescent="0.35">
      <c r="B8" s="18" t="s">
        <v>57</v>
      </c>
      <c r="C8" s="53">
        <v>4.5139095842400639E-2</v>
      </c>
      <c r="D8" s="53">
        <v>0.61514321848747944</v>
      </c>
      <c r="E8" s="53">
        <v>0.46401826934995866</v>
      </c>
      <c r="F8" s="53">
        <v>0.26330532212885155</v>
      </c>
      <c r="G8" s="53">
        <v>0.47804342575882908</v>
      </c>
      <c r="H8" s="53">
        <v>0.60710579220462157</v>
      </c>
      <c r="I8" s="53">
        <v>0.61143101065661809</v>
      </c>
      <c r="J8" s="53">
        <v>0.87434192035009828</v>
      </c>
      <c r="K8" s="53">
        <v>0.48008399353047188</v>
      </c>
      <c r="L8" s="53">
        <v>0.49357232158894815</v>
      </c>
      <c r="M8" s="53">
        <v>0.73016798704587704</v>
      </c>
      <c r="N8" s="53">
        <v>0.489604292615967</v>
      </c>
    </row>
    <row r="9" spans="1:14" x14ac:dyDescent="0.35">
      <c r="B9" s="18" t="s">
        <v>5</v>
      </c>
      <c r="C9" s="53">
        <v>0.39396362936662466</v>
      </c>
      <c r="D9" s="53">
        <v>0.16701375277908456</v>
      </c>
      <c r="E9" s="53">
        <v>0.3048382742590276</v>
      </c>
      <c r="F9" s="53">
        <v>0.48091954341736692</v>
      </c>
      <c r="G9" s="53">
        <v>0.17946030242948127</v>
      </c>
      <c r="H9" s="53">
        <v>0.1141766950743414</v>
      </c>
      <c r="I9" s="53">
        <v>9.6139275290752821E-2</v>
      </c>
      <c r="J9" s="53">
        <v>7.946015386991646E-3</v>
      </c>
      <c r="K9" s="53">
        <v>0.1239732184239252</v>
      </c>
      <c r="L9" s="53">
        <v>0.13465719478781255</v>
      </c>
      <c r="M9" s="53">
        <v>0.17219458083060837</v>
      </c>
      <c r="N9" s="53">
        <v>0.17245770573999697</v>
      </c>
    </row>
    <row r="10" spans="1:14" x14ac:dyDescent="0.35">
      <c r="B10" s="18" t="s">
        <v>58</v>
      </c>
      <c r="C10" s="53">
        <v>6.6464206505554915E-2</v>
      </c>
      <c r="D10" s="53">
        <v>1.5090214437086044E-2</v>
      </c>
      <c r="E10" s="53">
        <v>1.8670947216742978E-2</v>
      </c>
      <c r="F10" s="53">
        <v>1.4777231372549019E-2</v>
      </c>
      <c r="G10" s="53">
        <v>7.6679124088030086E-3</v>
      </c>
      <c r="H10" s="53">
        <v>1.9753301801716347E-2</v>
      </c>
      <c r="I10" s="53">
        <v>1.8731326747517766E-2</v>
      </c>
      <c r="J10" s="53">
        <v>0</v>
      </c>
      <c r="K10" s="53">
        <v>1.3839324558857462E-2</v>
      </c>
      <c r="L10" s="53">
        <v>1.7137307660482839E-2</v>
      </c>
      <c r="M10" s="53">
        <v>0</v>
      </c>
      <c r="N10" s="53">
        <v>1.9093617872189276E-2</v>
      </c>
    </row>
    <row r="11" spans="1:14" x14ac:dyDescent="0.35">
      <c r="B11" s="18" t="s">
        <v>59</v>
      </c>
      <c r="C11" s="53">
        <v>0</v>
      </c>
      <c r="D11" s="53">
        <v>9.4020845962614255E-6</v>
      </c>
      <c r="E11" s="53">
        <v>0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5.1140260498469148E-7</v>
      </c>
    </row>
    <row r="12" spans="1:14" x14ac:dyDescent="0.35">
      <c r="B12" s="23"/>
      <c r="C12" s="21">
        <f>SUM(C3:C11)</f>
        <v>1</v>
      </c>
      <c r="D12" s="21">
        <f t="shared" ref="D12:N12" si="0">SUM(D3:D11)</f>
        <v>1</v>
      </c>
      <c r="E12" s="21">
        <f t="shared" si="0"/>
        <v>1</v>
      </c>
      <c r="F12" s="21">
        <f t="shared" si="0"/>
        <v>1</v>
      </c>
      <c r="G12" s="21">
        <f t="shared" si="0"/>
        <v>1</v>
      </c>
      <c r="H12" s="21">
        <f t="shared" si="0"/>
        <v>0.99999999999999989</v>
      </c>
      <c r="I12" s="21">
        <f t="shared" si="0"/>
        <v>1.0000000000000002</v>
      </c>
      <c r="J12" s="21">
        <f t="shared" si="0"/>
        <v>1</v>
      </c>
      <c r="K12" s="21">
        <f t="shared" si="0"/>
        <v>1</v>
      </c>
      <c r="L12" s="21">
        <f t="shared" si="0"/>
        <v>1</v>
      </c>
      <c r="M12" s="21">
        <f t="shared" si="0"/>
        <v>0.99999999999999989</v>
      </c>
      <c r="N12" s="21">
        <f t="shared" si="0"/>
        <v>1</v>
      </c>
    </row>
    <row r="13" spans="1:14" x14ac:dyDescent="0.35">
      <c r="C13" s="30"/>
      <c r="D13" s="30"/>
      <c r="E13" s="30"/>
      <c r="F13" s="30"/>
      <c r="G13" s="30"/>
      <c r="H13" s="30"/>
      <c r="I13" s="30"/>
      <c r="J13" s="30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C3" sqref="C3:D11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28 June 2024</v>
      </c>
    </row>
    <row r="2" spans="1:13" x14ac:dyDescent="0.35">
      <c r="A2" s="17"/>
      <c r="B2" s="18" t="s">
        <v>40</v>
      </c>
      <c r="C2" s="18" t="s">
        <v>76</v>
      </c>
      <c r="D2" s="57" t="s">
        <v>80</v>
      </c>
      <c r="E2" s="57" t="s">
        <v>52</v>
      </c>
      <c r="K2" s="15"/>
      <c r="L2" s="15"/>
    </row>
    <row r="3" spans="1:13" x14ac:dyDescent="0.35">
      <c r="B3" s="18" t="s">
        <v>53</v>
      </c>
      <c r="C3" s="51">
        <v>314814011</v>
      </c>
      <c r="D3" s="50">
        <v>301530000</v>
      </c>
      <c r="E3" s="60">
        <f>SUM(C3:D3)</f>
        <v>616344011</v>
      </c>
      <c r="K3" s="15"/>
      <c r="L3" s="15"/>
      <c r="M3" s="54"/>
    </row>
    <row r="4" spans="1:13" x14ac:dyDescent="0.35">
      <c r="B4" s="18" t="s">
        <v>72</v>
      </c>
      <c r="C4" s="51">
        <v>53969000000</v>
      </c>
      <c r="D4" s="50">
        <v>25432070000</v>
      </c>
      <c r="E4" s="60">
        <f t="shared" ref="E4:E11" si="0">SUM(C4:D4)</f>
        <v>79401070000</v>
      </c>
      <c r="K4" s="15"/>
      <c r="L4" s="15"/>
      <c r="M4" s="54"/>
    </row>
    <row r="5" spans="1:13" x14ac:dyDescent="0.35">
      <c r="B5" s="18" t="s">
        <v>54</v>
      </c>
      <c r="C5" s="51">
        <v>1333750000</v>
      </c>
      <c r="D5" s="50">
        <v>3372280000</v>
      </c>
      <c r="E5" s="60">
        <f t="shared" si="0"/>
        <v>4706030000</v>
      </c>
      <c r="K5" s="15"/>
      <c r="L5" s="15"/>
      <c r="M5" s="54"/>
    </row>
    <row r="6" spans="1:13" x14ac:dyDescent="0.35">
      <c r="B6" s="18" t="s">
        <v>55</v>
      </c>
      <c r="C6" s="51">
        <v>1370900000</v>
      </c>
      <c r="D6" s="50">
        <v>367800000</v>
      </c>
      <c r="E6" s="60">
        <f t="shared" si="0"/>
        <v>1738700000</v>
      </c>
      <c r="K6" s="15"/>
      <c r="L6" s="15"/>
      <c r="M6" s="54"/>
    </row>
    <row r="7" spans="1:13" x14ac:dyDescent="0.35">
      <c r="B7" s="18" t="s">
        <v>56</v>
      </c>
      <c r="C7" s="51">
        <v>55300000</v>
      </c>
      <c r="D7" s="50">
        <v>262170000</v>
      </c>
      <c r="E7" s="60">
        <f t="shared" si="0"/>
        <v>317470000</v>
      </c>
      <c r="K7" s="15"/>
      <c r="L7" s="15"/>
      <c r="M7" s="54"/>
    </row>
    <row r="8" spans="1:13" x14ac:dyDescent="0.35">
      <c r="B8" s="18" t="s">
        <v>57</v>
      </c>
      <c r="C8" s="51">
        <v>44350000</v>
      </c>
      <c r="D8" s="50">
        <v>148800000</v>
      </c>
      <c r="E8" s="60">
        <f t="shared" si="0"/>
        <v>193150000</v>
      </c>
      <c r="K8" s="15"/>
      <c r="L8" s="15"/>
      <c r="M8" s="54"/>
    </row>
    <row r="9" spans="1:13" x14ac:dyDescent="0.35">
      <c r="B9" s="18" t="s">
        <v>5</v>
      </c>
      <c r="C9" s="51">
        <v>13963287386</v>
      </c>
      <c r="D9" s="50">
        <v>26711350000</v>
      </c>
      <c r="E9" s="60">
        <f t="shared" si="0"/>
        <v>40674637386</v>
      </c>
      <c r="K9" s="15"/>
      <c r="L9" s="15"/>
      <c r="M9" s="54"/>
    </row>
    <row r="10" spans="1:13" x14ac:dyDescent="0.35">
      <c r="B10" s="18" t="s">
        <v>58</v>
      </c>
      <c r="C10" s="51">
        <v>23598603</v>
      </c>
      <c r="D10" s="50">
        <v>139000000</v>
      </c>
      <c r="E10" s="60">
        <f t="shared" si="0"/>
        <v>162598603</v>
      </c>
      <c r="K10" s="15"/>
      <c r="L10" s="15"/>
      <c r="M10" s="54"/>
    </row>
    <row r="11" spans="1:13" x14ac:dyDescent="0.35">
      <c r="B11" s="19" t="s">
        <v>59</v>
      </c>
      <c r="C11" s="52">
        <v>0</v>
      </c>
      <c r="D11" s="50">
        <v>0</v>
      </c>
      <c r="E11" s="60">
        <f t="shared" si="0"/>
        <v>0</v>
      </c>
      <c r="K11" s="15"/>
      <c r="L11" s="15"/>
      <c r="M11" s="54"/>
    </row>
    <row r="12" spans="1:13" x14ac:dyDescent="0.35">
      <c r="B12" s="19"/>
      <c r="C12" s="20">
        <f>SUM(C3:C11)</f>
        <v>71075000000</v>
      </c>
      <c r="D12" s="20">
        <f t="shared" ref="D12:E12" si="1">SUM(D3:D11)</f>
        <v>56735000000</v>
      </c>
      <c r="E12" s="20">
        <f t="shared" si="1"/>
        <v>127810000000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C4" sqref="C4:E12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28 June 2024</v>
      </c>
    </row>
    <row r="3" spans="1:5" ht="13" x14ac:dyDescent="0.3">
      <c r="B3" s="18" t="s">
        <v>40</v>
      </c>
      <c r="C3" s="22" t="s">
        <v>76</v>
      </c>
      <c r="D3" s="43" t="s">
        <v>80</v>
      </c>
      <c r="E3" s="43" t="s">
        <v>71</v>
      </c>
    </row>
    <row r="4" spans="1:5" ht="13" x14ac:dyDescent="0.3">
      <c r="B4" s="18" t="s">
        <v>53</v>
      </c>
      <c r="C4" s="53">
        <v>4.4293212944073162E-3</v>
      </c>
      <c r="D4" s="53">
        <v>5.3147087335859702E-3</v>
      </c>
      <c r="E4" s="53">
        <v>4.8223457554181989E-3</v>
      </c>
    </row>
    <row r="5" spans="1:5" ht="13" x14ac:dyDescent="0.3">
      <c r="B5" s="18" t="s">
        <v>72</v>
      </c>
      <c r="C5" s="53">
        <v>0.75932465705240948</v>
      </c>
      <c r="D5" s="53">
        <v>0.44826068564378252</v>
      </c>
      <c r="E5" s="53">
        <v>0.62124301697832718</v>
      </c>
    </row>
    <row r="6" spans="1:5" ht="13" x14ac:dyDescent="0.3">
      <c r="B6" s="18" t="s">
        <v>54</v>
      </c>
      <c r="C6" s="53">
        <v>1.8765388673935984E-2</v>
      </c>
      <c r="D6" s="53">
        <v>5.9439146911077816E-2</v>
      </c>
      <c r="E6" s="53">
        <v>3.6820514826695877E-2</v>
      </c>
    </row>
    <row r="7" spans="1:5" ht="13" x14ac:dyDescent="0.3">
      <c r="B7" s="18" t="s">
        <v>55</v>
      </c>
      <c r="C7" s="53">
        <v>1.9288075976081603E-2</v>
      </c>
      <c r="D7" s="53">
        <v>6.4827707764166737E-3</v>
      </c>
      <c r="E7" s="53">
        <v>1.3603786871136845E-2</v>
      </c>
    </row>
    <row r="8" spans="1:5" ht="13" x14ac:dyDescent="0.3">
      <c r="B8" s="18" t="s">
        <v>56</v>
      </c>
      <c r="C8" s="53">
        <v>7.7805135420330632E-4</v>
      </c>
      <c r="D8" s="53">
        <v>4.6209570811668287E-3</v>
      </c>
      <c r="E8" s="53">
        <v>2.4839214458962523E-3</v>
      </c>
    </row>
    <row r="9" spans="1:5" ht="13" x14ac:dyDescent="0.3">
      <c r="B9" s="18" t="s">
        <v>57</v>
      </c>
      <c r="C9" s="53">
        <v>6.2398874428420687E-4</v>
      </c>
      <c r="D9" s="53">
        <v>2.6227196615845596E-3</v>
      </c>
      <c r="E9" s="53">
        <v>1.5112276034739067E-3</v>
      </c>
    </row>
    <row r="10" spans="1:5" ht="13" x14ac:dyDescent="0.3">
      <c r="B10" s="18" t="s">
        <v>5</v>
      </c>
      <c r="C10" s="53">
        <v>0.19645849294407317</v>
      </c>
      <c r="D10" s="53">
        <v>0.47080902441173877</v>
      </c>
      <c r="E10" s="53">
        <v>0.31824299652609345</v>
      </c>
    </row>
    <row r="11" spans="1:5" ht="13" x14ac:dyDescent="0.3">
      <c r="B11" s="18" t="s">
        <v>58</v>
      </c>
      <c r="C11" s="53">
        <v>3.3202396060499472E-4</v>
      </c>
      <c r="D11" s="53">
        <v>2.4499867806468669E-3</v>
      </c>
      <c r="E11" s="53">
        <v>1.2721899929582976E-3</v>
      </c>
    </row>
    <row r="12" spans="1:5" ht="13" x14ac:dyDescent="0.3">
      <c r="B12" s="18" t="s">
        <v>59</v>
      </c>
      <c r="C12" s="53">
        <v>0</v>
      </c>
      <c r="D12" s="53">
        <v>0</v>
      </c>
      <c r="E12" s="53">
        <v>0</v>
      </c>
    </row>
    <row r="13" spans="1:5" ht="13" x14ac:dyDescent="0.3">
      <c r="B13" s="23"/>
      <c r="C13" s="21">
        <f>SUM(C4:C12)</f>
        <v>0.99999999999999989</v>
      </c>
      <c r="D13" s="21">
        <f t="shared" ref="D13:E13" si="0">SUM(D4:D12)</f>
        <v>1</v>
      </c>
      <c r="E13" s="21">
        <f t="shared" si="0"/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F15" sqref="F15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65" bestFit="1" customWidth="1"/>
  </cols>
  <sheetData>
    <row r="1" spans="1:7" x14ac:dyDescent="0.35">
      <c r="A1" s="69" t="str">
        <f>'FRN % (Values)'!A1</f>
        <v>28 June 2024</v>
      </c>
    </row>
    <row r="2" spans="1:7" x14ac:dyDescent="0.35">
      <c r="B2" s="18" t="s">
        <v>40</v>
      </c>
      <c r="C2" s="18" t="s">
        <v>85</v>
      </c>
      <c r="D2" s="57" t="s">
        <v>86</v>
      </c>
      <c r="E2" s="57" t="s">
        <v>87</v>
      </c>
      <c r="F2" s="57" t="s">
        <v>88</v>
      </c>
      <c r="G2" s="18" t="s">
        <v>52</v>
      </c>
    </row>
    <row r="3" spans="1:7" x14ac:dyDescent="0.35">
      <c r="B3" s="18" t="s">
        <v>53</v>
      </c>
      <c r="C3" s="51">
        <v>0</v>
      </c>
      <c r="D3" s="50">
        <v>0</v>
      </c>
      <c r="E3" s="50">
        <v>0</v>
      </c>
      <c r="F3" s="50">
        <v>0</v>
      </c>
      <c r="G3" s="57">
        <v>0</v>
      </c>
    </row>
    <row r="4" spans="1:7" x14ac:dyDescent="0.35">
      <c r="B4" s="18" t="s">
        <v>72</v>
      </c>
      <c r="C4" s="51">
        <v>5723000000</v>
      </c>
      <c r="D4" s="50">
        <v>7877000000</v>
      </c>
      <c r="E4" s="50">
        <v>1300000000</v>
      </c>
      <c r="F4" s="50">
        <v>630000000</v>
      </c>
      <c r="G4" s="57">
        <f>SUM(C4:F4)</f>
        <v>15530000000</v>
      </c>
    </row>
    <row r="5" spans="1:7" x14ac:dyDescent="0.35">
      <c r="B5" s="18" t="s">
        <v>54</v>
      </c>
      <c r="C5" s="51">
        <v>0</v>
      </c>
      <c r="D5" s="50">
        <v>30565000</v>
      </c>
      <c r="E5" s="50">
        <v>30700000</v>
      </c>
      <c r="F5" s="50">
        <v>0</v>
      </c>
      <c r="G5" s="57">
        <f t="shared" ref="G5:G11" si="0">SUM(C5:F5)</f>
        <v>61265000</v>
      </c>
    </row>
    <row r="6" spans="1:7" x14ac:dyDescent="0.35">
      <c r="B6" s="18" t="s">
        <v>55</v>
      </c>
      <c r="C6" s="51">
        <v>0</v>
      </c>
      <c r="D6" s="50">
        <v>0</v>
      </c>
      <c r="E6" s="50">
        <v>0</v>
      </c>
      <c r="F6" s="50">
        <v>0</v>
      </c>
      <c r="G6" s="57">
        <f t="shared" si="0"/>
        <v>0</v>
      </c>
    </row>
    <row r="7" spans="1:7" x14ac:dyDescent="0.35">
      <c r="B7" s="18" t="s">
        <v>56</v>
      </c>
      <c r="C7" s="51">
        <v>0</v>
      </c>
      <c r="D7" s="50">
        <v>8500000</v>
      </c>
      <c r="E7" s="50">
        <v>8500000</v>
      </c>
      <c r="F7" s="50">
        <v>0</v>
      </c>
      <c r="G7" s="57">
        <f t="shared" si="0"/>
        <v>17000000</v>
      </c>
    </row>
    <row r="8" spans="1:7" x14ac:dyDescent="0.35">
      <c r="B8" s="18" t="s">
        <v>57</v>
      </c>
      <c r="C8" s="51">
        <v>35000000</v>
      </c>
      <c r="D8" s="50">
        <v>40000000</v>
      </c>
      <c r="E8" s="50">
        <v>97000000</v>
      </c>
      <c r="F8" s="50">
        <v>138000000</v>
      </c>
      <c r="G8" s="57">
        <f t="shared" si="0"/>
        <v>310000000</v>
      </c>
    </row>
    <row r="9" spans="1:7" x14ac:dyDescent="0.35">
      <c r="B9" s="18" t="s">
        <v>5</v>
      </c>
      <c r="C9" s="51">
        <v>1732000000</v>
      </c>
      <c r="D9" s="50">
        <v>877894077</v>
      </c>
      <c r="E9" s="50">
        <v>1040710000</v>
      </c>
      <c r="F9" s="50">
        <v>783000000</v>
      </c>
      <c r="G9" s="57">
        <f t="shared" si="0"/>
        <v>4433604077</v>
      </c>
    </row>
    <row r="10" spans="1:7" x14ac:dyDescent="0.35">
      <c r="B10" s="18" t="s">
        <v>58</v>
      </c>
      <c r="C10" s="51">
        <v>0</v>
      </c>
      <c r="D10" s="50">
        <v>32040923</v>
      </c>
      <c r="E10" s="50">
        <v>2090000</v>
      </c>
      <c r="F10" s="50">
        <v>0</v>
      </c>
      <c r="G10" s="57">
        <f t="shared" si="0"/>
        <v>34130923</v>
      </c>
    </row>
    <row r="11" spans="1:7" x14ac:dyDescent="0.35">
      <c r="B11" s="19" t="s">
        <v>59</v>
      </c>
      <c r="C11" s="52">
        <v>0</v>
      </c>
      <c r="D11" s="50">
        <v>0</v>
      </c>
      <c r="E11" s="50">
        <v>0</v>
      </c>
      <c r="F11" s="50">
        <v>0</v>
      </c>
      <c r="G11" s="57">
        <f t="shared" si="0"/>
        <v>0</v>
      </c>
    </row>
    <row r="12" spans="1:7" x14ac:dyDescent="0.35">
      <c r="B12" s="19"/>
      <c r="C12" s="20">
        <f>SUM(C3:C11)</f>
        <v>7490000000</v>
      </c>
      <c r="D12" s="20">
        <f t="shared" ref="D12:G12" si="1">SUM(D3:D11)</f>
        <v>8866000000</v>
      </c>
      <c r="E12" s="20">
        <f t="shared" si="1"/>
        <v>2479000000</v>
      </c>
      <c r="F12" s="20">
        <f t="shared" si="1"/>
        <v>1551000000</v>
      </c>
      <c r="G12" s="20">
        <f t="shared" si="1"/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E14" sqref="E14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65"/>
  </cols>
  <sheetData>
    <row r="1" spans="1:7" x14ac:dyDescent="0.35">
      <c r="A1" s="69" t="str">
        <f>'Sukuk (Values)'!A1</f>
        <v>28 June 2024</v>
      </c>
    </row>
    <row r="2" spans="1:7" x14ac:dyDescent="0.35">
      <c r="B2" s="18" t="s">
        <v>40</v>
      </c>
      <c r="C2" s="22" t="s">
        <v>85</v>
      </c>
      <c r="D2" s="43" t="s">
        <v>86</v>
      </c>
      <c r="E2" s="43" t="s">
        <v>87</v>
      </c>
      <c r="F2" s="43" t="s">
        <v>88</v>
      </c>
      <c r="G2" s="22" t="s">
        <v>71</v>
      </c>
    </row>
    <row r="3" spans="1:7" x14ac:dyDescent="0.35">
      <c r="B3" s="18" t="s">
        <v>53</v>
      </c>
      <c r="C3" s="53">
        <v>0</v>
      </c>
      <c r="D3" s="53">
        <v>0</v>
      </c>
      <c r="E3" s="53">
        <v>0</v>
      </c>
      <c r="F3" s="53">
        <v>0</v>
      </c>
      <c r="G3" s="70">
        <v>0</v>
      </c>
    </row>
    <row r="4" spans="1:7" x14ac:dyDescent="0.35">
      <c r="B4" s="18" t="s">
        <v>72</v>
      </c>
      <c r="C4" s="53">
        <v>0.7640854472630173</v>
      </c>
      <c r="D4" s="53">
        <v>0.88845025941800138</v>
      </c>
      <c r="E4" s="53">
        <v>0.52440500201694229</v>
      </c>
      <c r="F4" s="53">
        <v>0.40618955512572535</v>
      </c>
      <c r="G4" s="70">
        <v>0.76179731188070243</v>
      </c>
    </row>
    <row r="5" spans="1:7" x14ac:dyDescent="0.35">
      <c r="B5" s="18" t="s">
        <v>54</v>
      </c>
      <c r="C5" s="53">
        <v>0</v>
      </c>
      <c r="D5" s="53">
        <v>3.4474396571170765E-3</v>
      </c>
      <c r="E5" s="53">
        <v>1.2384025816861637E-2</v>
      </c>
      <c r="F5" s="53">
        <v>0</v>
      </c>
      <c r="G5" s="70">
        <v>3.0052487000882958E-3</v>
      </c>
    </row>
    <row r="6" spans="1:7" x14ac:dyDescent="0.35">
      <c r="B6" s="18" t="s">
        <v>55</v>
      </c>
      <c r="C6" s="53">
        <v>0</v>
      </c>
      <c r="D6" s="53">
        <v>0</v>
      </c>
      <c r="E6" s="53">
        <v>0</v>
      </c>
      <c r="F6" s="53">
        <v>0</v>
      </c>
      <c r="G6" s="70">
        <v>0</v>
      </c>
    </row>
    <row r="7" spans="1:7" x14ac:dyDescent="0.35">
      <c r="B7" s="18" t="s">
        <v>56</v>
      </c>
      <c r="C7" s="53">
        <v>0</v>
      </c>
      <c r="D7" s="53">
        <v>9.5871870065418452E-4</v>
      </c>
      <c r="E7" s="53">
        <v>3.4288019362646227E-3</v>
      </c>
      <c r="F7" s="53">
        <v>0</v>
      </c>
      <c r="G7" s="70">
        <v>8.339056215049544E-4</v>
      </c>
    </row>
    <row r="8" spans="1:7" x14ac:dyDescent="0.35">
      <c r="B8" s="18" t="s">
        <v>57</v>
      </c>
      <c r="C8" s="53">
        <v>4.6728971962616819E-3</v>
      </c>
      <c r="D8" s="53">
        <v>4.5116174148432213E-3</v>
      </c>
      <c r="E8" s="53">
        <v>3.9128680919725697E-2</v>
      </c>
      <c r="F8" s="53">
        <v>8.8974854932301742E-2</v>
      </c>
      <c r="G8" s="70">
        <v>1.5206514274502109E-2</v>
      </c>
    </row>
    <row r="9" spans="1:7" x14ac:dyDescent="0.35">
      <c r="B9" s="18" t="s">
        <v>5</v>
      </c>
      <c r="C9" s="53">
        <v>0.23124165554072096</v>
      </c>
      <c r="D9" s="53">
        <v>9.9018055154522902E-2</v>
      </c>
      <c r="E9" s="53">
        <v>0.41981040742234771</v>
      </c>
      <c r="F9" s="53">
        <v>0.50483558994197297</v>
      </c>
      <c r="G9" s="70">
        <v>0.21748278607868146</v>
      </c>
    </row>
    <row r="10" spans="1:7" x14ac:dyDescent="0.35">
      <c r="B10" s="18" t="s">
        <v>58</v>
      </c>
      <c r="C10" s="53">
        <v>0</v>
      </c>
      <c r="D10" s="53">
        <v>3.6139096548612679E-3</v>
      </c>
      <c r="E10" s="53">
        <v>8.4308188785800725E-4</v>
      </c>
      <c r="F10" s="53">
        <v>0</v>
      </c>
      <c r="G10" s="70">
        <v>1.6742334445207494E-3</v>
      </c>
    </row>
    <row r="11" spans="1:7" x14ac:dyDescent="0.35">
      <c r="B11" s="18" t="s">
        <v>59</v>
      </c>
      <c r="C11" s="53">
        <v>0</v>
      </c>
      <c r="D11" s="53">
        <v>0</v>
      </c>
      <c r="E11" s="53">
        <v>0</v>
      </c>
      <c r="F11" s="53">
        <v>0</v>
      </c>
      <c r="G11" s="70">
        <v>0</v>
      </c>
    </row>
    <row r="12" spans="1:7" x14ac:dyDescent="0.35">
      <c r="B12" s="23"/>
      <c r="C12" s="21">
        <f>SUM(C3:C11)</f>
        <v>0.99999999999999989</v>
      </c>
      <c r="D12" s="21">
        <f t="shared" ref="D12:G12" si="0">SUM(D3:D11)</f>
        <v>1</v>
      </c>
      <c r="E12" s="21">
        <f t="shared" si="0"/>
        <v>0.99999999999999978</v>
      </c>
      <c r="F12" s="21">
        <f t="shared" si="0"/>
        <v>1</v>
      </c>
      <c r="G12" s="21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Herold Maboa</cp:lastModifiedBy>
  <dcterms:created xsi:type="dcterms:W3CDTF">2016-03-09T09:54:02Z</dcterms:created>
  <dcterms:modified xsi:type="dcterms:W3CDTF">2024-07-02T08:43:36Z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